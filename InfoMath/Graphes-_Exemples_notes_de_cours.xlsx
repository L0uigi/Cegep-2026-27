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cegepGit\InfoMath\"/>
    </mc:Choice>
  </mc:AlternateContent>
  <xr:revisionPtr revIDLastSave="0" documentId="8_{3ECCD967-2AB0-44BB-8F95-DDE5B8259C34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Données" sheetId="1" r:id="rId1"/>
    <sheet name="Exemple 3.2" sheetId="5" r:id="rId2"/>
    <sheet name="Exemple 3.3" sheetId="6" r:id="rId3"/>
    <sheet name="Exemple 3.4" sheetId="7" r:id="rId4"/>
    <sheet name="Exemple 3.5" sheetId="8" r:id="rId5"/>
  </sheets>
  <definedNames>
    <definedName name="Âge">Données!$B$2:$B$41</definedName>
    <definedName name="Choix">Données!$D$2:$D$41</definedName>
    <definedName name="Données">Données!$A$1:$I$41</definedName>
    <definedName name="Échecs">Données!$H$2:$H$41</definedName>
    <definedName name="Étude">Données!$F$2:$F$41</definedName>
    <definedName name="Individu">Données!$A$2:$A$41</definedName>
    <definedName name="Main">Données!$E$2:$E$41</definedName>
    <definedName name="Motiv">Données!$C$2:$C$41</definedName>
    <definedName name="Moy.générale">Données!$G$2:$G$41</definedName>
    <definedName name="Temps">Données!$I$2:$I$41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6" l="1"/>
  <c r="D4" i="8"/>
  <c r="D5" i="8"/>
  <c r="D6" i="8"/>
  <c r="D7" i="8"/>
  <c r="D8" i="8"/>
  <c r="D9" i="8"/>
  <c r="D10" i="8"/>
  <c r="D3" i="8"/>
  <c r="E3" i="8" s="1"/>
  <c r="D4" i="7"/>
  <c r="D5" i="7"/>
  <c r="D6" i="7"/>
  <c r="D7" i="7"/>
  <c r="D8" i="7"/>
  <c r="D3" i="7"/>
  <c r="E3" i="7" s="1"/>
  <c r="D9" i="6"/>
  <c r="D4" i="6"/>
  <c r="D5" i="6"/>
  <c r="D6" i="6"/>
  <c r="D7" i="6"/>
  <c r="D8" i="6"/>
  <c r="D3" i="6"/>
  <c r="E3" i="6" s="1"/>
  <c r="D4" i="5"/>
  <c r="D5" i="5"/>
  <c r="D3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E4" i="6" l="1"/>
  <c r="E5" i="6" s="1"/>
  <c r="E6" i="6" s="1"/>
  <c r="E7" i="6" s="1"/>
  <c r="E8" i="6" s="1"/>
  <c r="E4" i="8"/>
  <c r="E5" i="8" s="1"/>
  <c r="E6" i="8" s="1"/>
  <c r="E7" i="8" s="1"/>
  <c r="E8" i="8" s="1"/>
  <c r="E9" i="8" s="1"/>
  <c r="E4" i="7"/>
  <c r="E5" i="7" s="1"/>
  <c r="E6" i="7" s="1"/>
  <c r="E7" i="7" s="1"/>
</calcChain>
</file>

<file path=xl/sharedStrings.xml><?xml version="1.0" encoding="utf-8"?>
<sst xmlns="http://schemas.openxmlformats.org/spreadsheetml/2006/main" count="121" uniqueCount="48">
  <si>
    <t>Individu</t>
  </si>
  <si>
    <t>Âge</t>
  </si>
  <si>
    <t>Motiv</t>
  </si>
  <si>
    <t>Choix</t>
  </si>
  <si>
    <t>Main</t>
  </si>
  <si>
    <t>Étude</t>
  </si>
  <si>
    <t>Moy.générale</t>
  </si>
  <si>
    <t>Échecs</t>
  </si>
  <si>
    <t>Temps</t>
  </si>
  <si>
    <t>G</t>
  </si>
  <si>
    <t>D</t>
  </si>
  <si>
    <t>Total</t>
  </si>
  <si>
    <t>Droite</t>
  </si>
  <si>
    <t>Gauche</t>
  </si>
  <si>
    <t>Nombre d'étudiants</t>
  </si>
  <si>
    <t>Pourcentage d'étudiants</t>
  </si>
  <si>
    <t>Niveau de motivation</t>
  </si>
  <si>
    <t>Pourcentage cumulé d'étudiants</t>
  </si>
  <si>
    <t>Main principale</t>
  </si>
  <si>
    <t>Moyenne générale</t>
  </si>
  <si>
    <t>[90, 100[</t>
  </si>
  <si>
    <t>[80, 90[</t>
  </si>
  <si>
    <t>[70, 80[</t>
  </si>
  <si>
    <t>[60, 70[</t>
  </si>
  <si>
    <t>[50, 60[</t>
  </si>
  <si>
    <t>Temps requis pour recopier un texte de 150 mots</t>
  </si>
  <si>
    <t>[6; 6.5[</t>
  </si>
  <si>
    <t>[7; 7.5[</t>
  </si>
  <si>
    <t>[6.5; 7[</t>
  </si>
  <si>
    <t>[7.5; 8[</t>
  </si>
  <si>
    <t>[8; 8.5[</t>
  </si>
  <si>
    <t>[8.5; 9[</t>
  </si>
  <si>
    <t>[9; 9.5[</t>
  </si>
  <si>
    <t>Mo=</t>
  </si>
  <si>
    <t>droite</t>
  </si>
  <si>
    <t>Classe modale=</t>
  </si>
  <si>
    <t>Classes modales=</t>
  </si>
  <si>
    <t>Md=</t>
  </si>
  <si>
    <t>=</t>
  </si>
  <si>
    <t>E=</t>
  </si>
  <si>
    <t>s=</t>
  </si>
  <si>
    <t>CV=</t>
  </si>
  <si>
    <t>x=</t>
  </si>
  <si>
    <t>z=</t>
  </si>
  <si>
    <t>insertion- graphique-select donnee- valeur(pourcentage-modifier horizontale(Nom donnee)</t>
  </si>
  <si>
    <t>Source: Inconnue.</t>
  </si>
  <si>
    <t>Remarque : on remarque que 85% des étudiants écrivent de la main droite.</t>
  </si>
  <si>
    <t>Remarque : 50% des étudiants ont pris 7min30 et moins pour ecrire un texte de 150 mots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</si>
</sst>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MS Reference Sans Serif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64" fontId="0" fillId="2" borderId="6" xfId="0" applyNumberFormat="1" applyFill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164" fontId="0" fillId="2" borderId="4" xfId="0" applyNumberForma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164" fontId="0" fillId="4" borderId="11" xfId="0" applyNumberFormat="1" applyFill="1" applyBorder="1" applyAlignment="1">
      <alignment horizontal="center" vertical="center" wrapText="1"/>
    </xf>
    <xf numFmtId="164" fontId="0" fillId="4" borderId="12" xfId="0" applyNumberForma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164" fontId="0" fillId="4" borderId="8" xfId="0" applyNumberForma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64" fontId="0" fillId="7" borderId="18" xfId="0" applyNumberFormat="1" applyFill="1" applyBorder="1" applyAlignment="1">
      <alignment horizontal="center" vertical="center" wrapText="1"/>
    </xf>
    <xf numFmtId="164" fontId="0" fillId="7" borderId="16" xfId="0" applyNumberFormat="1" applyFill="1" applyBorder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 wrapText="1"/>
    </xf>
    <xf numFmtId="164" fontId="0" fillId="0" borderId="16" xfId="0" applyNumberFormat="1" applyBorder="1" applyAlignment="1">
      <alignment horizontal="center" vertical="center" wrapText="1"/>
    </xf>
    <xf numFmtId="164" fontId="0" fillId="0" borderId="17" xfId="0" applyNumberFormat="1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vertical="center" wrapText="1"/>
    </xf>
    <xf numFmtId="0" fontId="1" fillId="8" borderId="23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164" fontId="0" fillId="9" borderId="23" xfId="0" applyNumberFormat="1" applyFill="1" applyBorder="1" applyAlignment="1">
      <alignment horizontal="center" vertical="center" wrapText="1"/>
    </xf>
    <xf numFmtId="164" fontId="0" fillId="9" borderId="24" xfId="0" applyNumberForma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164" fontId="0" fillId="0" borderId="23" xfId="0" applyNumberFormat="1" applyBorder="1" applyAlignment="1">
      <alignment horizontal="center" vertical="center" wrapText="1"/>
    </xf>
    <xf numFmtId="164" fontId="0" fillId="0" borderId="24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4" fontId="0" fillId="0" borderId="20" xfId="0" applyNumberFormat="1" applyBorder="1" applyAlignment="1">
      <alignment horizontal="center" vertical="center" wrapText="1"/>
    </xf>
    <xf numFmtId="164" fontId="0" fillId="0" borderId="21" xfId="0" applyNumberForma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165" fontId="0" fillId="0" borderId="0" xfId="0" applyNumberFormat="1" applyAlignment="1">
      <alignment horizontal="left"/>
    </xf>
    <xf numFmtId="0" fontId="0" fillId="10" borderId="0" xfId="0" applyFill="1"/>
    <xf numFmtId="0" fontId="0" fillId="10" borderId="0" xfId="0" applyFill="1" applyAlignment="1">
      <alignment horizontal="right"/>
    </xf>
    <xf numFmtId="0" fontId="2" fillId="10" borderId="0" xfId="0" applyFont="1" applyFill="1" applyAlignment="1">
      <alignment horizontal="right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Répartitions</a:t>
            </a:r>
            <a:r>
              <a:rPr lang="fr-CA" baseline="0"/>
              <a:t> en pourcentage de 40 étudiants du CVM selon leur main principale,CVM,2023.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'Exemple 3.2'!$B$3:$B$4</c:f>
              <c:strCache>
                <c:ptCount val="2"/>
                <c:pt idx="0">
                  <c:v>Droite</c:v>
                </c:pt>
                <c:pt idx="1">
                  <c:v>Gauche</c:v>
                </c:pt>
              </c:strCache>
            </c:strRef>
          </c:cat>
          <c:val>
            <c:numRef>
              <c:f>'Exemple 3.2'!$D$3:$D$4</c:f>
              <c:numCache>
                <c:formatCode>0.0</c:formatCode>
                <c:ptCount val="2"/>
                <c:pt idx="0">
                  <c:v>85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D-4B76-9EEB-2A1FBB04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Répartitions en pourcentage de 40 étudiants du CVM selon leur main principale,CVM,2023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'Exemple 3.2'!$B$3:$B$4</c:f>
              <c:strCache>
                <c:ptCount val="2"/>
                <c:pt idx="0">
                  <c:v>Droite</c:v>
                </c:pt>
                <c:pt idx="1">
                  <c:v>Gauche</c:v>
                </c:pt>
              </c:strCache>
            </c:strRef>
          </c:cat>
          <c:val>
            <c:numRef>
              <c:f>'Exemple 3.2'!$D$3:$D$4</c:f>
              <c:numCache>
                <c:formatCode>0.0</c:formatCode>
                <c:ptCount val="2"/>
                <c:pt idx="0">
                  <c:v>85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C-44E5-B185-F54F195D8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392368"/>
        <c:axId val="540654767"/>
      </c:barChart>
      <c:catAx>
        <c:axId val="30392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Main</a:t>
                </a:r>
                <a:r>
                  <a:rPr lang="fr-CA" baseline="0"/>
                  <a:t> principale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0654767"/>
        <c:crosses val="autoZero"/>
        <c:auto val="1"/>
        <c:lblAlgn val="ctr"/>
        <c:lblOffset val="100"/>
        <c:noMultiLvlLbl val="0"/>
      </c:catAx>
      <c:valAx>
        <c:axId val="54065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Pourcentage</a:t>
                </a:r>
                <a:r>
                  <a:rPr lang="fr-CA" baseline="0"/>
                  <a:t> d'étudiants(%)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39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Répartition</a:t>
            </a:r>
            <a:r>
              <a:rPr lang="fr-CA" baseline="0"/>
              <a:t> en pourcentage de 40 étudiants selon leur niveau de motivation, CVM, 2023.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'Exemple 3.3'!$B$3:$B$8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'Exemple 3.3'!$D$3:$D$8</c:f>
              <c:numCache>
                <c:formatCode>0.0</c:formatCode>
                <c:ptCount val="6"/>
                <c:pt idx="0">
                  <c:v>10</c:v>
                </c:pt>
                <c:pt idx="1">
                  <c:v>12.5</c:v>
                </c:pt>
                <c:pt idx="2">
                  <c:v>12.5</c:v>
                </c:pt>
                <c:pt idx="3">
                  <c:v>20</c:v>
                </c:pt>
                <c:pt idx="4">
                  <c:v>30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7-4F84-B15D-8A9FC3FD7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3"/>
        <c:axId val="93146240"/>
        <c:axId val="317832047"/>
      </c:barChart>
      <c:catAx>
        <c:axId val="93146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Niveau</a:t>
                </a:r>
                <a:r>
                  <a:rPr lang="fr-CA" baseline="0"/>
                  <a:t> de motivation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7832047"/>
        <c:crosses val="autoZero"/>
        <c:auto val="1"/>
        <c:lblAlgn val="ctr"/>
        <c:lblOffset val="100"/>
        <c:noMultiLvlLbl val="0"/>
      </c:catAx>
      <c:valAx>
        <c:axId val="31783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Pourcentage</a:t>
                </a:r>
                <a:r>
                  <a:rPr lang="fr-CA" baseline="0"/>
                  <a:t> d'étudiants(%)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14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Répartition</a:t>
            </a:r>
            <a:r>
              <a:rPr lang="fr-CA" baseline="0"/>
              <a:t> en pourcentage de étudiants selon leur moyenne générale, CVM, 2023.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'Exemple 3.4'!$B$3:$B$7</c:f>
              <c:strCache>
                <c:ptCount val="5"/>
                <c:pt idx="0">
                  <c:v>[50, 60[</c:v>
                </c:pt>
                <c:pt idx="1">
                  <c:v>[60, 70[</c:v>
                </c:pt>
                <c:pt idx="2">
                  <c:v>[70, 80[</c:v>
                </c:pt>
                <c:pt idx="3">
                  <c:v>[80, 90[</c:v>
                </c:pt>
                <c:pt idx="4">
                  <c:v>[90, 100[</c:v>
                </c:pt>
              </c:strCache>
            </c:strRef>
          </c:cat>
          <c:val>
            <c:numRef>
              <c:f>'Exemple 3.4'!$D$3:$D$7</c:f>
              <c:numCache>
                <c:formatCode>0.0</c:formatCode>
                <c:ptCount val="5"/>
                <c:pt idx="0">
                  <c:v>5</c:v>
                </c:pt>
                <c:pt idx="1">
                  <c:v>40</c:v>
                </c:pt>
                <c:pt idx="2">
                  <c:v>27.500000000000004</c:v>
                </c:pt>
                <c:pt idx="3">
                  <c:v>20</c:v>
                </c:pt>
                <c:pt idx="4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4-4709-A479-95E99DDAE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5"/>
        <c:axId val="990658431"/>
        <c:axId val="540735407"/>
      </c:barChart>
      <c:catAx>
        <c:axId val="990658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Moyenne</a:t>
                </a:r>
                <a:r>
                  <a:rPr lang="fr-CA" baseline="0"/>
                  <a:t> générale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0735407"/>
        <c:crosses val="autoZero"/>
        <c:auto val="1"/>
        <c:lblAlgn val="ctr"/>
        <c:lblOffset val="100"/>
        <c:noMultiLvlLbl val="0"/>
      </c:catAx>
      <c:valAx>
        <c:axId val="54073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Pourcentage</a:t>
                </a:r>
                <a:r>
                  <a:rPr lang="fr-CA" baseline="0"/>
                  <a:t> d'étudiants (%)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065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Répartitions</a:t>
            </a:r>
            <a:r>
              <a:rPr lang="fr-CA" baseline="0"/>
              <a:t> en pourcentage cumulée de 40 étudiant selon leur temps requis pour recopier un texte de 150 mots, CVM, 2023.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'Exemple 3.5'!$J$3:$J$10</c:f>
              <c:numCache>
                <c:formatCode>General</c:formatCode>
                <c:ptCount val="8"/>
                <c:pt idx="0">
                  <c:v>6</c:v>
                </c:pt>
                <c:pt idx="1">
                  <c:v>6.5</c:v>
                </c:pt>
                <c:pt idx="2">
                  <c:v>7</c:v>
                </c:pt>
                <c:pt idx="3">
                  <c:v>7.5</c:v>
                </c:pt>
                <c:pt idx="4">
                  <c:v>8</c:v>
                </c:pt>
                <c:pt idx="5">
                  <c:v>8.5</c:v>
                </c:pt>
                <c:pt idx="6">
                  <c:v>9</c:v>
                </c:pt>
                <c:pt idx="7">
                  <c:v>9.5</c:v>
                </c:pt>
              </c:numCache>
            </c:numRef>
          </c:cat>
          <c:val>
            <c:numRef>
              <c:f>'Exemple 3.5'!$K$3:$K$10</c:f>
              <c:numCache>
                <c:formatCode>General</c:formatCode>
                <c:ptCount val="8"/>
                <c:pt idx="0">
                  <c:v>0</c:v>
                </c:pt>
                <c:pt idx="1">
                  <c:v>12.5</c:v>
                </c:pt>
                <c:pt idx="2">
                  <c:v>35</c:v>
                </c:pt>
                <c:pt idx="3">
                  <c:v>57.5</c:v>
                </c:pt>
                <c:pt idx="4">
                  <c:v>77.5</c:v>
                </c:pt>
                <c:pt idx="5">
                  <c:v>92.5</c:v>
                </c:pt>
                <c:pt idx="6">
                  <c:v>95</c:v>
                </c:pt>
                <c:pt idx="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68-403E-B923-E995E1B4C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662768"/>
        <c:axId val="540651887"/>
      </c:lineChart>
      <c:catAx>
        <c:axId val="80662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Temps</a:t>
                </a:r>
                <a:r>
                  <a:rPr lang="fr-CA" baseline="0"/>
                  <a:t> requis pour recopier un texte de 150 mots (minutes)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0651887"/>
        <c:crosses val="autoZero"/>
        <c:auto val="1"/>
        <c:lblAlgn val="ctr"/>
        <c:lblOffset val="100"/>
        <c:noMultiLvlLbl val="0"/>
      </c:catAx>
      <c:valAx>
        <c:axId val="54065188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Pourcentage</a:t>
                </a:r>
                <a:r>
                  <a:rPr lang="fr-CA" baseline="0"/>
                  <a:t> cumulées d'étudiants (%)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66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752929</xdr:colOff>
      <xdr:row>1</xdr:row>
      <xdr:rowOff>359531</xdr:rowOff>
    </xdr:from>
    <xdr:to>
      <xdr:col>14</xdr:col>
      <xdr:colOff>743857</xdr:colOff>
      <xdr:row>17</xdr:row>
      <xdr:rowOff>18446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A5485B1-0270-ACB8-916C-CAC579DC8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760488</xdr:colOff>
      <xdr:row>14</xdr:row>
      <xdr:rowOff>162983</xdr:rowOff>
    </xdr:from>
    <xdr:to>
      <xdr:col>6</xdr:col>
      <xdr:colOff>690940</xdr:colOff>
      <xdr:row>30</xdr:row>
      <xdr:rowOff>3326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950E694-E78B-BEDE-76E1-40970B37C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13758</xdr:colOff>
      <xdr:row>17</xdr:row>
      <xdr:rowOff>16405</xdr:rowOff>
    </xdr:from>
    <xdr:ext cx="31367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3E17E939-84F7-9EC0-73DF-049C36C0F1B4}"/>
                </a:ext>
              </a:extLst>
            </xdr:cNvPr>
            <xdr:cNvSpPr txBox="1"/>
          </xdr:nvSpPr>
          <xdr:spPr>
            <a:xfrm>
              <a:off x="775758" y="3836988"/>
              <a:ext cx="31367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fr-CA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fr-CA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p>
                        <m:r>
                          <a:rPr lang="fr-CA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fr-CA" sz="11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fr-CA" sz="1100" b="0"/>
            </a:p>
          </xdr:txBody>
        </xdr:sp>
      </mc:Choice>
      <mc:Fallback xmlns="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3E17E939-84F7-9EC0-73DF-049C36C0F1B4}"/>
                </a:ext>
              </a:extLst>
            </xdr:cNvPr>
            <xdr:cNvSpPr txBox="1"/>
          </xdr:nvSpPr>
          <xdr:spPr>
            <a:xfrm>
              <a:off x="775758" y="3836988"/>
              <a:ext cx="31367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CA" sz="1100" b="0" i="0">
                  <a:latin typeface="Cambria Math" panose="02040503050406030204" pitchFamily="18" charset="0"/>
                </a:rPr>
                <a:t>𝑠^2=</a:t>
              </a:r>
              <a:endParaRPr lang="fr-CA" sz="1100" b="0"/>
            </a:p>
          </xdr:txBody>
        </xdr:sp>
      </mc:Fallback>
    </mc:AlternateContent>
    <xdr:clientData/>
  </xdr:oneCellAnchor>
  <xdr:twoCellAnchor>
    <xdr:from>
      <xdr:col>11</xdr:col>
      <xdr:colOff>3969</xdr:colOff>
      <xdr:row>0</xdr:row>
      <xdr:rowOff>45244</xdr:rowOff>
    </xdr:from>
    <xdr:to>
      <xdr:col>17</xdr:col>
      <xdr:colOff>3969</xdr:colOff>
      <xdr:row>11</xdr:row>
      <xdr:rowOff>177006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8111FB5-F0C4-EF0F-3886-178D74A8AD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760214</xdr:colOff>
      <xdr:row>17</xdr:row>
      <xdr:rowOff>4167</xdr:rowOff>
    </xdr:from>
    <xdr:ext cx="31367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D7A07BF7-951A-47C8-F9EB-9E2CDD3D4F3C}"/>
                </a:ext>
              </a:extLst>
            </xdr:cNvPr>
            <xdr:cNvSpPr txBox="1"/>
          </xdr:nvSpPr>
          <xdr:spPr>
            <a:xfrm>
              <a:off x="760214" y="3843933"/>
              <a:ext cx="31367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fr-CA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fr-CA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p>
                        <m:r>
                          <a:rPr lang="fr-CA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fr-CA" sz="11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fr-CA" sz="1100" b="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D7A07BF7-951A-47C8-F9EB-9E2CDD3D4F3C}"/>
                </a:ext>
              </a:extLst>
            </xdr:cNvPr>
            <xdr:cNvSpPr txBox="1"/>
          </xdr:nvSpPr>
          <xdr:spPr>
            <a:xfrm>
              <a:off x="760214" y="3843933"/>
              <a:ext cx="31367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CA" sz="1100" b="0" i="0">
                  <a:latin typeface="Cambria Math" panose="02040503050406030204" pitchFamily="18" charset="0"/>
                </a:rPr>
                <a:t>𝑠^2=</a:t>
              </a:r>
              <a:endParaRPr lang="fr-CA" sz="1100" b="0"/>
            </a:p>
          </xdr:txBody>
        </xdr:sp>
      </mc:Fallback>
    </mc:AlternateContent>
    <xdr:clientData/>
  </xdr:oneCellAnchor>
  <xdr:twoCellAnchor>
    <xdr:from>
      <xdr:col>10</xdr:col>
      <xdr:colOff>13606</xdr:colOff>
      <xdr:row>1</xdr:row>
      <xdr:rowOff>2720</xdr:rowOff>
    </xdr:from>
    <xdr:to>
      <xdr:col>18</xdr:col>
      <xdr:colOff>9071</xdr:colOff>
      <xdr:row>18</xdr:row>
      <xdr:rowOff>244928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5D1EA13-B7FB-9CE8-1C45-629A1DFBF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31750</xdr:colOff>
      <xdr:row>17</xdr:row>
      <xdr:rowOff>76200</xdr:rowOff>
    </xdr:from>
    <xdr:ext cx="31367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D9035CC1-7135-FB41-DF6F-A5058D0BDBC0}"/>
                </a:ext>
              </a:extLst>
            </xdr:cNvPr>
            <xdr:cNvSpPr txBox="1"/>
          </xdr:nvSpPr>
          <xdr:spPr>
            <a:xfrm>
              <a:off x="793750" y="4019550"/>
              <a:ext cx="31367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fr-CA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fr-CA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p>
                        <m:r>
                          <a:rPr lang="fr-CA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fr-CA" sz="11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fr-CA" sz="1100" b="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D9035CC1-7135-FB41-DF6F-A5058D0BDBC0}"/>
                </a:ext>
              </a:extLst>
            </xdr:cNvPr>
            <xdr:cNvSpPr txBox="1"/>
          </xdr:nvSpPr>
          <xdr:spPr>
            <a:xfrm>
              <a:off x="793750" y="4019550"/>
              <a:ext cx="31367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CA" sz="1100" b="0" i="0">
                  <a:latin typeface="Cambria Math" panose="02040503050406030204" pitchFamily="18" charset="0"/>
                </a:rPr>
                <a:t>𝑠^2=</a:t>
              </a:r>
              <a:endParaRPr lang="fr-CA" sz="1100" b="0"/>
            </a:p>
          </xdr:txBody>
        </xdr:sp>
      </mc:Fallback>
    </mc:AlternateContent>
    <xdr:clientData/>
  </xdr:oneCellAnchor>
  <xdr:twoCellAnchor>
    <xdr:from>
      <xdr:col>11</xdr:col>
      <xdr:colOff>89647</xdr:colOff>
      <xdr:row>0</xdr:row>
      <xdr:rowOff>144930</xdr:rowOff>
    </xdr:from>
    <xdr:to>
      <xdr:col>18</xdr:col>
      <xdr:colOff>508000</xdr:colOff>
      <xdr:row>16</xdr:row>
      <xdr:rowOff>112060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D49B828-D42D-84B4-E6F7-ADCC15F2F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opLeftCell="A43" zoomScaleNormal="100" workbookViewId="0">
      <selection activeCell="E2" sqref="E2:E41"/>
    </sheetView>
  </sheetViews>
  <sheetFormatPr baseColWidth="10" defaultColWidth="9.1796875" defaultRowHeight="14.5" x14ac:dyDescent="0.35"/>
  <cols>
    <col min="1" max="1" width="9.453125" style="1" customWidth="1"/>
    <col min="2" max="3" width="6.453125" style="1" customWidth="1"/>
    <col min="4" max="4" width="7" style="1" customWidth="1"/>
    <col min="5" max="5" width="7.26953125" style="1" customWidth="1"/>
    <col min="6" max="6" width="9.7265625" style="1" customWidth="1"/>
    <col min="7" max="7" width="13.81640625" style="1" customWidth="1"/>
    <col min="8" max="8" width="9.26953125" style="1" customWidth="1"/>
    <col min="9" max="9" width="9.1796875" style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>
        <v>1</v>
      </c>
      <c r="B2" s="1">
        <v>18</v>
      </c>
      <c r="C2" s="1">
        <v>4</v>
      </c>
      <c r="D2" s="1">
        <v>1</v>
      </c>
      <c r="E2" s="1" t="s">
        <v>9</v>
      </c>
      <c r="F2" s="1">
        <v>2</v>
      </c>
      <c r="G2" s="1">
        <v>70</v>
      </c>
      <c r="H2" s="1">
        <v>1</v>
      </c>
      <c r="I2" s="1">
        <v>7.54</v>
      </c>
    </row>
    <row r="3" spans="1:9" x14ac:dyDescent="0.35">
      <c r="A3" s="1">
        <f>A2+1</f>
        <v>2</v>
      </c>
      <c r="B3" s="1">
        <v>17</v>
      </c>
      <c r="C3" s="1">
        <v>1</v>
      </c>
      <c r="D3" s="1">
        <v>2</v>
      </c>
      <c r="E3" s="1" t="s">
        <v>10</v>
      </c>
      <c r="F3" s="1">
        <v>15</v>
      </c>
      <c r="G3" s="1">
        <v>81</v>
      </c>
      <c r="H3" s="1">
        <v>0</v>
      </c>
      <c r="I3" s="1">
        <v>6.91</v>
      </c>
    </row>
    <row r="4" spans="1:9" x14ac:dyDescent="0.35">
      <c r="A4" s="1">
        <f t="shared" ref="A4:A41" si="0">A3+1</f>
        <v>3</v>
      </c>
      <c r="B4" s="1">
        <v>17</v>
      </c>
      <c r="C4" s="1">
        <v>2</v>
      </c>
      <c r="D4" s="1">
        <v>2</v>
      </c>
      <c r="E4" s="1" t="s">
        <v>10</v>
      </c>
      <c r="F4" s="1">
        <v>7</v>
      </c>
      <c r="G4" s="1">
        <v>66</v>
      </c>
      <c r="H4" s="1">
        <v>2</v>
      </c>
      <c r="I4" s="1">
        <v>6.89</v>
      </c>
    </row>
    <row r="5" spans="1:9" x14ac:dyDescent="0.35">
      <c r="A5" s="1">
        <f t="shared" si="0"/>
        <v>4</v>
      </c>
      <c r="B5" s="1">
        <v>18</v>
      </c>
      <c r="C5" s="1">
        <v>5</v>
      </c>
      <c r="D5" s="1">
        <v>1</v>
      </c>
      <c r="E5" s="1" t="s">
        <v>10</v>
      </c>
      <c r="F5" s="1">
        <v>10</v>
      </c>
      <c r="G5" s="1">
        <v>62</v>
      </c>
      <c r="H5" s="1">
        <v>3</v>
      </c>
      <c r="I5" s="1">
        <v>7.81</v>
      </c>
    </row>
    <row r="6" spans="1:9" x14ac:dyDescent="0.35">
      <c r="A6" s="1">
        <f t="shared" si="0"/>
        <v>5</v>
      </c>
      <c r="B6" s="1">
        <v>19</v>
      </c>
      <c r="C6" s="1">
        <v>0</v>
      </c>
      <c r="D6" s="1">
        <v>2</v>
      </c>
      <c r="E6" s="1" t="s">
        <v>9</v>
      </c>
      <c r="F6" s="1">
        <v>9</v>
      </c>
      <c r="G6" s="1">
        <v>62</v>
      </c>
      <c r="H6" s="1">
        <v>0</v>
      </c>
      <c r="I6" s="1">
        <v>6.2</v>
      </c>
    </row>
    <row r="7" spans="1:9" x14ac:dyDescent="0.35">
      <c r="A7" s="1">
        <f t="shared" si="0"/>
        <v>6</v>
      </c>
      <c r="B7" s="1">
        <v>20</v>
      </c>
      <c r="C7" s="1">
        <v>3</v>
      </c>
      <c r="D7" s="1">
        <v>1</v>
      </c>
      <c r="E7" s="1" t="s">
        <v>10</v>
      </c>
      <c r="F7" s="1">
        <v>2</v>
      </c>
      <c r="G7" s="1">
        <v>60</v>
      </c>
      <c r="H7" s="1">
        <v>2</v>
      </c>
      <c r="I7" s="1">
        <v>8.1999999999999993</v>
      </c>
    </row>
    <row r="8" spans="1:9" x14ac:dyDescent="0.35">
      <c r="A8" s="1">
        <f t="shared" si="0"/>
        <v>7</v>
      </c>
      <c r="B8" s="1">
        <v>22</v>
      </c>
      <c r="C8" s="1">
        <v>3</v>
      </c>
      <c r="D8" s="1">
        <v>2</v>
      </c>
      <c r="E8" s="1" t="s">
        <v>10</v>
      </c>
      <c r="F8" s="1">
        <v>3</v>
      </c>
      <c r="G8" s="1">
        <v>65</v>
      </c>
      <c r="H8" s="1">
        <v>0</v>
      </c>
      <c r="I8" s="1">
        <v>7.12</v>
      </c>
    </row>
    <row r="9" spans="1:9" x14ac:dyDescent="0.35">
      <c r="A9" s="1">
        <f t="shared" si="0"/>
        <v>8</v>
      </c>
      <c r="B9" s="1">
        <v>25</v>
      </c>
      <c r="C9" s="1">
        <v>4</v>
      </c>
      <c r="D9" s="1">
        <v>1</v>
      </c>
      <c r="E9" s="1" t="s">
        <v>10</v>
      </c>
      <c r="F9" s="1">
        <v>22</v>
      </c>
      <c r="G9" s="1">
        <v>93</v>
      </c>
      <c r="H9" s="1">
        <v>0</v>
      </c>
      <c r="I9" s="1">
        <v>6.1</v>
      </c>
    </row>
    <row r="10" spans="1:9" x14ac:dyDescent="0.35">
      <c r="A10" s="1">
        <f t="shared" si="0"/>
        <v>9</v>
      </c>
      <c r="B10" s="1">
        <v>18</v>
      </c>
      <c r="C10" s="1">
        <v>4</v>
      </c>
      <c r="D10" s="1">
        <v>1</v>
      </c>
      <c r="E10" s="1" t="s">
        <v>10</v>
      </c>
      <c r="F10" s="1">
        <v>12</v>
      </c>
      <c r="G10" s="1">
        <v>84</v>
      </c>
      <c r="H10" s="1">
        <v>0</v>
      </c>
      <c r="I10" s="1">
        <v>6.35</v>
      </c>
    </row>
    <row r="11" spans="1:9" x14ac:dyDescent="0.35">
      <c r="A11" s="1">
        <f t="shared" si="0"/>
        <v>10</v>
      </c>
      <c r="B11" s="1">
        <v>19</v>
      </c>
      <c r="C11" s="1">
        <v>4</v>
      </c>
      <c r="D11" s="1">
        <v>1</v>
      </c>
      <c r="E11" s="1" t="s">
        <v>10</v>
      </c>
      <c r="F11" s="1">
        <v>14</v>
      </c>
      <c r="G11" s="1">
        <v>86</v>
      </c>
      <c r="H11" s="1">
        <v>0</v>
      </c>
      <c r="I11" s="1">
        <v>7.25</v>
      </c>
    </row>
    <row r="12" spans="1:9" x14ac:dyDescent="0.35">
      <c r="A12" s="1">
        <f t="shared" si="0"/>
        <v>11</v>
      </c>
      <c r="B12" s="1">
        <v>19</v>
      </c>
      <c r="C12" s="1">
        <v>4</v>
      </c>
      <c r="D12" s="1">
        <v>2</v>
      </c>
      <c r="E12" s="1" t="s">
        <v>10</v>
      </c>
      <c r="F12" s="1">
        <v>0</v>
      </c>
      <c r="G12" s="1">
        <v>57</v>
      </c>
      <c r="H12" s="1">
        <v>6</v>
      </c>
      <c r="I12" s="1">
        <v>9.4</v>
      </c>
    </row>
    <row r="13" spans="1:9" x14ac:dyDescent="0.35">
      <c r="A13" s="1">
        <f t="shared" si="0"/>
        <v>12</v>
      </c>
      <c r="B13" s="1">
        <v>19</v>
      </c>
      <c r="C13" s="1">
        <v>3</v>
      </c>
      <c r="D13" s="1">
        <v>1</v>
      </c>
      <c r="E13" s="1" t="s">
        <v>10</v>
      </c>
      <c r="F13" s="1">
        <v>7</v>
      </c>
      <c r="G13" s="1">
        <v>64</v>
      </c>
      <c r="H13" s="1">
        <v>1</v>
      </c>
      <c r="I13" s="1">
        <v>7.04</v>
      </c>
    </row>
    <row r="14" spans="1:9" x14ac:dyDescent="0.35">
      <c r="A14" s="1">
        <f t="shared" si="0"/>
        <v>13</v>
      </c>
      <c r="B14" s="1">
        <v>18</v>
      </c>
      <c r="C14" s="1">
        <v>5</v>
      </c>
      <c r="D14" s="1">
        <v>1</v>
      </c>
      <c r="E14" s="1" t="s">
        <v>10</v>
      </c>
      <c r="F14" s="1">
        <v>8</v>
      </c>
      <c r="G14" s="1">
        <v>71</v>
      </c>
      <c r="H14" s="1">
        <v>1</v>
      </c>
      <c r="I14" s="1">
        <v>6.98</v>
      </c>
    </row>
    <row r="15" spans="1:9" x14ac:dyDescent="0.35">
      <c r="A15" s="1">
        <f t="shared" si="0"/>
        <v>14</v>
      </c>
      <c r="B15" s="1">
        <v>20</v>
      </c>
      <c r="C15" s="1">
        <v>2</v>
      </c>
      <c r="D15" s="1">
        <v>2</v>
      </c>
      <c r="E15" s="1" t="s">
        <v>10</v>
      </c>
      <c r="F15" s="1">
        <v>13</v>
      </c>
      <c r="G15" s="1">
        <v>89</v>
      </c>
      <c r="H15" s="1">
        <v>0</v>
      </c>
      <c r="I15" s="1">
        <v>6.4</v>
      </c>
    </row>
    <row r="16" spans="1:9" x14ac:dyDescent="0.35">
      <c r="A16" s="1">
        <f t="shared" si="0"/>
        <v>15</v>
      </c>
      <c r="B16" s="1">
        <v>26</v>
      </c>
      <c r="C16" s="1">
        <v>1</v>
      </c>
      <c r="D16" s="1">
        <v>1</v>
      </c>
      <c r="E16" s="1" t="s">
        <v>10</v>
      </c>
      <c r="F16" s="1">
        <v>6</v>
      </c>
      <c r="G16" s="1">
        <v>68</v>
      </c>
      <c r="H16" s="1">
        <v>2</v>
      </c>
      <c r="I16" s="1">
        <v>7.25</v>
      </c>
    </row>
    <row r="17" spans="1:10" x14ac:dyDescent="0.35">
      <c r="A17" s="1">
        <f t="shared" si="0"/>
        <v>16</v>
      </c>
      <c r="B17" s="1">
        <v>23</v>
      </c>
      <c r="C17" s="1">
        <v>5</v>
      </c>
      <c r="D17" s="1">
        <v>1</v>
      </c>
      <c r="E17" s="1" t="s">
        <v>10</v>
      </c>
      <c r="F17" s="1">
        <v>17</v>
      </c>
      <c r="G17" s="1">
        <v>76</v>
      </c>
      <c r="H17" s="1">
        <v>0</v>
      </c>
      <c r="I17" s="1">
        <v>7.11</v>
      </c>
    </row>
    <row r="18" spans="1:10" x14ac:dyDescent="0.35">
      <c r="A18" s="1">
        <f t="shared" si="0"/>
        <v>17</v>
      </c>
      <c r="B18" s="1">
        <v>17</v>
      </c>
      <c r="C18" s="1">
        <v>0</v>
      </c>
      <c r="D18" s="1">
        <v>2</v>
      </c>
      <c r="E18" s="1" t="s">
        <v>10</v>
      </c>
      <c r="F18" s="1">
        <v>11</v>
      </c>
      <c r="G18" s="1">
        <v>72</v>
      </c>
      <c r="H18" s="1">
        <v>0</v>
      </c>
      <c r="I18" s="1">
        <v>8.4499999999999993</v>
      </c>
    </row>
    <row r="19" spans="1:10" x14ac:dyDescent="0.35">
      <c r="A19" s="1">
        <f t="shared" si="0"/>
        <v>18</v>
      </c>
      <c r="B19" s="1">
        <v>16</v>
      </c>
      <c r="C19" s="1">
        <v>3</v>
      </c>
      <c r="D19" s="1">
        <v>1</v>
      </c>
      <c r="E19" s="1" t="s">
        <v>10</v>
      </c>
      <c r="F19" s="1">
        <v>5</v>
      </c>
      <c r="G19" s="1">
        <v>65</v>
      </c>
      <c r="H19" s="1">
        <v>3</v>
      </c>
      <c r="I19" s="1">
        <v>8.1300000000000008</v>
      </c>
    </row>
    <row r="20" spans="1:10" x14ac:dyDescent="0.35">
      <c r="A20" s="1">
        <f t="shared" si="0"/>
        <v>19</v>
      </c>
      <c r="B20" s="1">
        <v>18</v>
      </c>
      <c r="C20" s="1">
        <v>5</v>
      </c>
      <c r="D20" s="1">
        <v>1</v>
      </c>
      <c r="E20" s="1" t="s">
        <v>10</v>
      </c>
      <c r="F20" s="1">
        <v>3</v>
      </c>
      <c r="G20" s="1">
        <v>68</v>
      </c>
      <c r="H20" s="1">
        <v>0</v>
      </c>
      <c r="I20" s="1">
        <v>7.94</v>
      </c>
    </row>
    <row r="21" spans="1:10" x14ac:dyDescent="0.35">
      <c r="A21" s="1">
        <f t="shared" si="0"/>
        <v>20</v>
      </c>
      <c r="B21" s="1">
        <v>19</v>
      </c>
      <c r="C21" s="1">
        <v>5</v>
      </c>
      <c r="D21" s="1">
        <v>1</v>
      </c>
      <c r="E21" s="1" t="s">
        <v>10</v>
      </c>
      <c r="F21" s="1">
        <v>9</v>
      </c>
      <c r="G21" s="1">
        <v>68</v>
      </c>
      <c r="H21" s="1">
        <v>1</v>
      </c>
      <c r="I21" s="1">
        <v>7.62</v>
      </c>
    </row>
    <row r="22" spans="1:10" x14ac:dyDescent="0.35">
      <c r="A22" s="1">
        <f t="shared" si="0"/>
        <v>21</v>
      </c>
      <c r="B22" s="1">
        <v>19</v>
      </c>
      <c r="C22" s="1">
        <v>2</v>
      </c>
      <c r="D22" s="1">
        <v>2</v>
      </c>
      <c r="E22" s="1" t="s">
        <v>10</v>
      </c>
      <c r="F22" s="1">
        <v>5</v>
      </c>
      <c r="G22" s="1">
        <v>64</v>
      </c>
      <c r="H22" s="1">
        <v>2</v>
      </c>
      <c r="I22" s="1">
        <v>7.77</v>
      </c>
    </row>
    <row r="23" spans="1:10" x14ac:dyDescent="0.35">
      <c r="A23" s="1">
        <f t="shared" si="0"/>
        <v>22</v>
      </c>
      <c r="B23" s="1">
        <v>18</v>
      </c>
      <c r="C23" s="1">
        <v>4</v>
      </c>
      <c r="D23" s="1">
        <v>1</v>
      </c>
      <c r="E23" s="1" t="s">
        <v>9</v>
      </c>
      <c r="F23" s="1">
        <v>22</v>
      </c>
      <c r="G23" s="1">
        <v>99</v>
      </c>
      <c r="H23" s="1">
        <v>0</v>
      </c>
      <c r="I23" s="1">
        <v>6.05</v>
      </c>
    </row>
    <row r="24" spans="1:10" x14ac:dyDescent="0.35">
      <c r="A24" s="1">
        <f t="shared" si="0"/>
        <v>23</v>
      </c>
      <c r="B24" s="1">
        <v>17</v>
      </c>
      <c r="C24" s="1">
        <v>4</v>
      </c>
      <c r="D24" s="1">
        <v>1</v>
      </c>
      <c r="E24" s="1" t="s">
        <v>10</v>
      </c>
      <c r="F24" s="1">
        <v>18</v>
      </c>
      <c r="G24" s="1">
        <v>94</v>
      </c>
      <c r="H24" s="1">
        <v>0</v>
      </c>
      <c r="I24" s="1">
        <v>6.81</v>
      </c>
    </row>
    <row r="25" spans="1:10" x14ac:dyDescent="0.35">
      <c r="A25" s="1">
        <f t="shared" si="0"/>
        <v>24</v>
      </c>
      <c r="B25" s="1">
        <v>21</v>
      </c>
      <c r="C25" s="1">
        <v>4</v>
      </c>
      <c r="D25" s="1">
        <v>2</v>
      </c>
      <c r="E25" s="1" t="s">
        <v>10</v>
      </c>
      <c r="F25" s="1">
        <v>1</v>
      </c>
      <c r="G25" s="1">
        <v>75</v>
      </c>
      <c r="H25" s="1">
        <v>1</v>
      </c>
      <c r="I25" s="1">
        <v>6.83</v>
      </c>
    </row>
    <row r="26" spans="1:10" x14ac:dyDescent="0.35">
      <c r="A26" s="1">
        <f t="shared" si="0"/>
        <v>25</v>
      </c>
      <c r="B26" s="1">
        <v>25</v>
      </c>
      <c r="C26" s="1">
        <v>1</v>
      </c>
      <c r="D26" s="1">
        <v>1</v>
      </c>
      <c r="E26" s="1" t="s">
        <v>10</v>
      </c>
      <c r="F26" s="1">
        <v>6</v>
      </c>
      <c r="G26" s="1">
        <v>78</v>
      </c>
      <c r="H26" s="1">
        <v>0</v>
      </c>
      <c r="I26" s="1">
        <v>7.12</v>
      </c>
    </row>
    <row r="27" spans="1:10" x14ac:dyDescent="0.35">
      <c r="A27" s="1">
        <f t="shared" si="0"/>
        <v>26</v>
      </c>
      <c r="B27" s="1">
        <v>20</v>
      </c>
      <c r="C27" s="1">
        <v>4</v>
      </c>
      <c r="D27" s="1">
        <v>1</v>
      </c>
      <c r="E27" s="1" t="s">
        <v>10</v>
      </c>
      <c r="F27" s="1">
        <v>20</v>
      </c>
      <c r="G27" s="1">
        <v>88</v>
      </c>
      <c r="H27" s="1">
        <v>0</v>
      </c>
      <c r="I27" s="1">
        <v>8.94</v>
      </c>
      <c r="J27" s="1"/>
    </row>
    <row r="28" spans="1:10" x14ac:dyDescent="0.35">
      <c r="A28" s="1">
        <f t="shared" si="0"/>
        <v>27</v>
      </c>
      <c r="B28" s="1">
        <v>18</v>
      </c>
      <c r="C28" s="1">
        <v>3</v>
      </c>
      <c r="D28" s="1">
        <v>1</v>
      </c>
      <c r="E28" s="1" t="s">
        <v>10</v>
      </c>
      <c r="F28" s="1">
        <v>5</v>
      </c>
      <c r="G28" s="1">
        <v>62</v>
      </c>
      <c r="H28" s="1">
        <v>2</v>
      </c>
      <c r="I28" s="1">
        <v>8.01</v>
      </c>
      <c r="J28" s="1"/>
    </row>
    <row r="29" spans="1:10" x14ac:dyDescent="0.35">
      <c r="A29" s="1">
        <f t="shared" si="0"/>
        <v>28</v>
      </c>
      <c r="B29" s="1">
        <v>18</v>
      </c>
      <c r="C29" s="1">
        <v>3</v>
      </c>
      <c r="D29" s="1">
        <v>1</v>
      </c>
      <c r="E29" s="1" t="s">
        <v>10</v>
      </c>
      <c r="F29" s="1">
        <v>4</v>
      </c>
      <c r="G29" s="1">
        <v>64</v>
      </c>
      <c r="H29" s="1">
        <v>1</v>
      </c>
      <c r="I29" s="1">
        <v>7.85</v>
      </c>
      <c r="J29" s="1"/>
    </row>
    <row r="30" spans="1:10" x14ac:dyDescent="0.35">
      <c r="A30" s="1">
        <f t="shared" si="0"/>
        <v>29</v>
      </c>
      <c r="B30" s="1">
        <v>19</v>
      </c>
      <c r="C30" s="1">
        <v>0</v>
      </c>
      <c r="D30" s="1">
        <v>1</v>
      </c>
      <c r="E30" s="1" t="s">
        <v>9</v>
      </c>
      <c r="F30" s="1">
        <v>9</v>
      </c>
      <c r="G30" s="1">
        <v>73</v>
      </c>
      <c r="H30" s="1">
        <v>0</v>
      </c>
      <c r="I30" s="1">
        <v>7.59</v>
      </c>
      <c r="J30" s="1"/>
    </row>
    <row r="31" spans="1:10" x14ac:dyDescent="0.35">
      <c r="A31" s="1">
        <f t="shared" si="0"/>
        <v>30</v>
      </c>
      <c r="B31" s="1">
        <v>19</v>
      </c>
      <c r="C31" s="1">
        <v>2</v>
      </c>
      <c r="D31" s="1">
        <v>2</v>
      </c>
      <c r="E31" s="1" t="s">
        <v>10</v>
      </c>
      <c r="F31" s="1">
        <v>8</v>
      </c>
      <c r="G31" s="1">
        <v>75</v>
      </c>
      <c r="H31" s="1">
        <v>0</v>
      </c>
      <c r="I31" s="1">
        <v>7.45</v>
      </c>
      <c r="J31" s="1"/>
    </row>
    <row r="32" spans="1:10" x14ac:dyDescent="0.35">
      <c r="A32" s="1">
        <f t="shared" si="0"/>
        <v>31</v>
      </c>
      <c r="B32" s="1">
        <v>17</v>
      </c>
      <c r="C32" s="1">
        <v>2</v>
      </c>
      <c r="D32" s="1">
        <v>1</v>
      </c>
      <c r="E32" s="1" t="s">
        <v>10</v>
      </c>
      <c r="F32" s="1">
        <v>4</v>
      </c>
      <c r="G32" s="1">
        <v>67</v>
      </c>
      <c r="H32" s="1">
        <v>2</v>
      </c>
      <c r="I32" s="1">
        <v>6.99</v>
      </c>
      <c r="J32" s="1"/>
    </row>
    <row r="33" spans="1:10" x14ac:dyDescent="0.35">
      <c r="A33" s="1">
        <f t="shared" si="0"/>
        <v>32</v>
      </c>
      <c r="B33" s="1">
        <v>18</v>
      </c>
      <c r="C33" s="1">
        <v>4</v>
      </c>
      <c r="D33" s="1">
        <v>1</v>
      </c>
      <c r="E33" s="1" t="s">
        <v>10</v>
      </c>
      <c r="F33" s="1">
        <v>12</v>
      </c>
      <c r="G33" s="1">
        <v>84</v>
      </c>
      <c r="H33" s="1">
        <v>0</v>
      </c>
      <c r="I33" s="1">
        <v>6.7</v>
      </c>
      <c r="J33" s="1"/>
    </row>
    <row r="34" spans="1:10" x14ac:dyDescent="0.35">
      <c r="A34" s="1">
        <f t="shared" si="0"/>
        <v>33</v>
      </c>
      <c r="B34" s="1">
        <v>21</v>
      </c>
      <c r="C34" s="1">
        <v>5</v>
      </c>
      <c r="D34" s="1">
        <v>1</v>
      </c>
      <c r="E34" s="1" t="s">
        <v>10</v>
      </c>
      <c r="F34" s="1">
        <v>15</v>
      </c>
      <c r="G34" s="1">
        <v>87</v>
      </c>
      <c r="H34" s="1">
        <v>0</v>
      </c>
      <c r="I34" s="1">
        <v>6.75</v>
      </c>
      <c r="J34" s="1"/>
    </row>
    <row r="35" spans="1:10" x14ac:dyDescent="0.35">
      <c r="A35" s="1">
        <f t="shared" si="0"/>
        <v>34</v>
      </c>
      <c r="B35" s="1">
        <v>35</v>
      </c>
      <c r="C35" s="1">
        <v>0</v>
      </c>
      <c r="D35" s="1">
        <v>2</v>
      </c>
      <c r="E35" s="1" t="s">
        <v>10</v>
      </c>
      <c r="F35" s="1">
        <v>14</v>
      </c>
      <c r="G35" s="1">
        <v>81</v>
      </c>
      <c r="H35" s="1">
        <v>0</v>
      </c>
      <c r="I35" s="1">
        <v>6.83</v>
      </c>
      <c r="J35" s="1"/>
    </row>
    <row r="36" spans="1:10" x14ac:dyDescent="0.35">
      <c r="A36" s="1">
        <f t="shared" si="0"/>
        <v>35</v>
      </c>
      <c r="B36" s="1">
        <v>17</v>
      </c>
      <c r="C36" s="1">
        <v>4</v>
      </c>
      <c r="D36" s="1">
        <v>1</v>
      </c>
      <c r="E36" s="1" t="s">
        <v>9</v>
      </c>
      <c r="F36" s="1">
        <v>8</v>
      </c>
      <c r="G36" s="1">
        <v>76</v>
      </c>
      <c r="H36" s="1">
        <v>0</v>
      </c>
      <c r="I36" s="1">
        <v>9.02</v>
      </c>
    </row>
    <row r="37" spans="1:10" x14ac:dyDescent="0.35">
      <c r="A37" s="1">
        <f t="shared" si="0"/>
        <v>36</v>
      </c>
      <c r="B37" s="1">
        <v>19</v>
      </c>
      <c r="C37" s="1">
        <v>4</v>
      </c>
      <c r="D37" s="1">
        <v>1</v>
      </c>
      <c r="E37" s="1" t="s">
        <v>9</v>
      </c>
      <c r="F37" s="1">
        <v>7</v>
      </c>
      <c r="G37" s="1">
        <v>71</v>
      </c>
      <c r="H37" s="1">
        <v>1</v>
      </c>
      <c r="I37" s="1">
        <v>7.14</v>
      </c>
    </row>
    <row r="38" spans="1:10" x14ac:dyDescent="0.35">
      <c r="A38" s="1">
        <f t="shared" si="0"/>
        <v>37</v>
      </c>
      <c r="B38" s="1">
        <v>18</v>
      </c>
      <c r="C38" s="1">
        <v>1</v>
      </c>
      <c r="D38" s="1">
        <v>1</v>
      </c>
      <c r="E38" s="1" t="s">
        <v>10</v>
      </c>
      <c r="F38" s="1">
        <v>4</v>
      </c>
      <c r="G38" s="1">
        <v>65</v>
      </c>
      <c r="H38" s="1">
        <v>0</v>
      </c>
      <c r="I38" s="1">
        <v>7.69</v>
      </c>
    </row>
    <row r="39" spans="1:10" x14ac:dyDescent="0.35">
      <c r="A39" s="1">
        <f t="shared" si="0"/>
        <v>38</v>
      </c>
      <c r="B39" s="1">
        <v>19</v>
      </c>
      <c r="C39" s="1">
        <v>3</v>
      </c>
      <c r="D39" s="1">
        <v>2</v>
      </c>
      <c r="E39" s="1" t="s">
        <v>10</v>
      </c>
      <c r="F39" s="1">
        <v>0</v>
      </c>
      <c r="G39" s="1">
        <v>58</v>
      </c>
      <c r="H39" s="1">
        <v>3</v>
      </c>
      <c r="I39" s="1">
        <v>8.42</v>
      </c>
    </row>
    <row r="40" spans="1:10" x14ac:dyDescent="0.35">
      <c r="A40" s="1">
        <f t="shared" si="0"/>
        <v>39</v>
      </c>
      <c r="B40" s="1">
        <v>19</v>
      </c>
      <c r="C40" s="1">
        <v>3</v>
      </c>
      <c r="D40" s="1">
        <v>1</v>
      </c>
      <c r="E40" s="1" t="s">
        <v>10</v>
      </c>
      <c r="F40" s="1">
        <v>0</v>
      </c>
      <c r="G40" s="1">
        <v>61</v>
      </c>
      <c r="H40" s="1">
        <v>2</v>
      </c>
      <c r="I40" s="1">
        <v>8.0299999999999994</v>
      </c>
    </row>
    <row r="41" spans="1:10" x14ac:dyDescent="0.35">
      <c r="A41" s="1">
        <f t="shared" si="0"/>
        <v>40</v>
      </c>
      <c r="B41" s="1">
        <v>19</v>
      </c>
      <c r="C41" s="1">
        <v>1</v>
      </c>
      <c r="D41" s="1">
        <v>1</v>
      </c>
      <c r="E41" s="1" t="s">
        <v>10</v>
      </c>
      <c r="F41" s="1">
        <v>9</v>
      </c>
      <c r="G41" s="1">
        <v>76</v>
      </c>
      <c r="H41" s="1">
        <v>0</v>
      </c>
      <c r="I41" s="1">
        <v>7.41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9E05-FC33-4AE5-8B87-91947D6E76AC}">
  <dimension ref="A2:O32"/>
  <sheetViews>
    <sheetView topLeftCell="A12" zoomScale="84" zoomScaleNormal="84" workbookViewId="0">
      <selection activeCell="I25" sqref="I25"/>
    </sheetView>
  </sheetViews>
  <sheetFormatPr baseColWidth="10" defaultRowHeight="14.5" x14ac:dyDescent="0.35"/>
  <cols>
    <col min="2" max="2" width="10.54296875" customWidth="1"/>
    <col min="3" max="4" width="11.54296875" customWidth="1"/>
  </cols>
  <sheetData>
    <row r="2" spans="1:6" ht="28.5" customHeight="1" x14ac:dyDescent="0.35">
      <c r="B2" s="2" t="s">
        <v>18</v>
      </c>
      <c r="C2" s="3" t="s">
        <v>14</v>
      </c>
      <c r="D2" s="4" t="s">
        <v>15</v>
      </c>
    </row>
    <row r="3" spans="1:6" x14ac:dyDescent="0.35">
      <c r="B3" s="5" t="s">
        <v>12</v>
      </c>
      <c r="C3" s="6">
        <v>34</v>
      </c>
      <c r="D3" s="11">
        <f>C3/$C$5*100</f>
        <v>85</v>
      </c>
    </row>
    <row r="4" spans="1:6" x14ac:dyDescent="0.35">
      <c r="B4" s="7" t="s">
        <v>13</v>
      </c>
      <c r="C4" s="8">
        <v>6</v>
      </c>
      <c r="D4" s="12">
        <f t="shared" ref="D4:D5" si="0">C4/$C$5*100</f>
        <v>15</v>
      </c>
    </row>
    <row r="5" spans="1:6" x14ac:dyDescent="0.35">
      <c r="B5" s="9" t="s">
        <v>11</v>
      </c>
      <c r="C5" s="10">
        <v>40</v>
      </c>
      <c r="D5" s="13">
        <f t="shared" si="0"/>
        <v>100</v>
      </c>
    </row>
    <row r="7" spans="1:6" x14ac:dyDescent="0.35">
      <c r="B7" s="63" t="s">
        <v>33</v>
      </c>
      <c r="D7" t="s">
        <v>34</v>
      </c>
    </row>
    <row r="9" spans="1:6" x14ac:dyDescent="0.35">
      <c r="A9" s="69" t="s">
        <v>44</v>
      </c>
      <c r="B9" s="69"/>
      <c r="C9" s="69"/>
      <c r="D9" s="69"/>
      <c r="E9" s="69"/>
      <c r="F9" s="69"/>
    </row>
    <row r="10" spans="1:6" x14ac:dyDescent="0.35">
      <c r="A10" s="69"/>
      <c r="B10" s="69"/>
      <c r="C10" s="69"/>
      <c r="D10" s="69"/>
      <c r="E10" s="69"/>
      <c r="F10" s="69"/>
    </row>
    <row r="11" spans="1:6" x14ac:dyDescent="0.35">
      <c r="A11" s="69"/>
      <c r="B11" s="69"/>
      <c r="C11" s="69"/>
      <c r="D11" s="69"/>
      <c r="E11" s="69"/>
      <c r="F11" s="69"/>
    </row>
    <row r="12" spans="1:6" x14ac:dyDescent="0.35">
      <c r="A12" s="69"/>
      <c r="B12" s="69"/>
      <c r="C12" s="69"/>
      <c r="D12" s="69"/>
      <c r="E12" s="69"/>
      <c r="F12" s="69"/>
    </row>
    <row r="13" spans="1:6" x14ac:dyDescent="0.35">
      <c r="A13" s="69"/>
      <c r="B13" s="69"/>
      <c r="C13" s="69"/>
      <c r="D13" s="69"/>
      <c r="E13" s="69"/>
      <c r="F13" s="69"/>
    </row>
    <row r="19" spans="2:15" x14ac:dyDescent="0.35">
      <c r="J19" s="70" t="s">
        <v>45</v>
      </c>
      <c r="K19" s="70"/>
      <c r="L19" s="70"/>
      <c r="M19" s="70"/>
      <c r="N19" s="70"/>
      <c r="O19" s="70"/>
    </row>
    <row r="20" spans="2:15" x14ac:dyDescent="0.35">
      <c r="J20" s="70" t="s">
        <v>46</v>
      </c>
      <c r="K20" s="70"/>
      <c r="L20" s="70"/>
      <c r="M20" s="70"/>
      <c r="N20" s="70"/>
      <c r="O20" s="70"/>
    </row>
    <row r="31" spans="2:15" x14ac:dyDescent="0.35">
      <c r="B31" s="70" t="s">
        <v>45</v>
      </c>
      <c r="C31" s="70"/>
      <c r="D31" s="70"/>
      <c r="E31" s="70"/>
      <c r="F31" s="70"/>
      <c r="G31" s="70"/>
    </row>
    <row r="32" spans="2:15" x14ac:dyDescent="0.35">
      <c r="B32" s="70" t="s">
        <v>46</v>
      </c>
      <c r="C32" s="70"/>
      <c r="D32" s="70"/>
      <c r="E32" s="70"/>
      <c r="F32" s="70"/>
      <c r="G32" s="70"/>
    </row>
  </sheetData>
  <mergeCells count="5">
    <mergeCell ref="B32:G32"/>
    <mergeCell ref="A9:F13"/>
    <mergeCell ref="J19:O19"/>
    <mergeCell ref="J20:O20"/>
    <mergeCell ref="B31:G3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1B28-EEB9-4EFC-A433-3466B8F2F739}">
  <dimension ref="B1:Q23"/>
  <sheetViews>
    <sheetView topLeftCell="E1" zoomScale="80" zoomScaleNormal="80" workbookViewId="0">
      <selection activeCell="H6" sqref="H6"/>
    </sheetView>
  </sheetViews>
  <sheetFormatPr baseColWidth="10" defaultRowHeight="14.5" x14ac:dyDescent="0.35"/>
  <cols>
    <col min="2" max="2" width="11.7265625" customWidth="1"/>
    <col min="3" max="3" width="10.1796875" customWidth="1"/>
    <col min="4" max="4" width="12.453125" customWidth="1"/>
    <col min="5" max="5" width="17.81640625" customWidth="1"/>
  </cols>
  <sheetData>
    <row r="1" spans="2:17" ht="21" customHeight="1" x14ac:dyDescent="0.35"/>
    <row r="2" spans="2:17" ht="54.5" customHeight="1" x14ac:dyDescent="0.35">
      <c r="B2" s="14" t="s">
        <v>16</v>
      </c>
      <c r="C2" s="15" t="s">
        <v>14</v>
      </c>
      <c r="D2" s="15" t="s">
        <v>15</v>
      </c>
      <c r="E2" s="16" t="s">
        <v>17</v>
      </c>
    </row>
    <row r="3" spans="2:17" x14ac:dyDescent="0.35">
      <c r="B3" s="17">
        <v>0</v>
      </c>
      <c r="C3" s="18">
        <v>4</v>
      </c>
      <c r="D3" s="19">
        <f>C3/$C$9*100</f>
        <v>10</v>
      </c>
      <c r="E3" s="20">
        <f>D3</f>
        <v>10</v>
      </c>
    </row>
    <row r="4" spans="2:17" x14ac:dyDescent="0.35">
      <c r="B4" s="21">
        <v>1</v>
      </c>
      <c r="C4" s="22">
        <v>5</v>
      </c>
      <c r="D4" s="23">
        <f t="shared" ref="D4:D9" si="0">C4/$C$9*100</f>
        <v>12.5</v>
      </c>
      <c r="E4" s="24">
        <f>D4+E3</f>
        <v>22.5</v>
      </c>
    </row>
    <row r="5" spans="2:17" x14ac:dyDescent="0.35">
      <c r="B5" s="17">
        <v>2</v>
      </c>
      <c r="C5" s="18">
        <v>5</v>
      </c>
      <c r="D5" s="19">
        <f t="shared" si="0"/>
        <v>12.5</v>
      </c>
      <c r="E5" s="20">
        <f t="shared" ref="E5:E8" si="1">D5+E4</f>
        <v>35</v>
      </c>
    </row>
    <row r="6" spans="2:17" x14ac:dyDescent="0.35">
      <c r="B6" s="21">
        <v>3</v>
      </c>
      <c r="C6" s="22">
        <v>8</v>
      </c>
      <c r="D6" s="23">
        <f t="shared" si="0"/>
        <v>20</v>
      </c>
      <c r="E6" s="24">
        <f t="shared" si="1"/>
        <v>55</v>
      </c>
    </row>
    <row r="7" spans="2:17" x14ac:dyDescent="0.35">
      <c r="B7" s="17">
        <v>4</v>
      </c>
      <c r="C7" s="18">
        <v>12</v>
      </c>
      <c r="D7" s="19">
        <f t="shared" si="0"/>
        <v>30</v>
      </c>
      <c r="E7" s="20">
        <f t="shared" si="1"/>
        <v>85</v>
      </c>
    </row>
    <row r="8" spans="2:17" x14ac:dyDescent="0.35">
      <c r="B8" s="21">
        <v>5</v>
      </c>
      <c r="C8" s="22">
        <v>6</v>
      </c>
      <c r="D8" s="23">
        <f t="shared" si="0"/>
        <v>15</v>
      </c>
      <c r="E8" s="24">
        <f t="shared" si="1"/>
        <v>100</v>
      </c>
    </row>
    <row r="9" spans="2:17" x14ac:dyDescent="0.35">
      <c r="B9" s="25" t="s">
        <v>11</v>
      </c>
      <c r="C9" s="26">
        <v>40</v>
      </c>
      <c r="D9" s="27">
        <f t="shared" si="0"/>
        <v>100</v>
      </c>
      <c r="E9" s="28"/>
    </row>
    <row r="11" spans="2:17" ht="15" x14ac:dyDescent="0.35">
      <c r="B11" s="59" t="s">
        <v>33</v>
      </c>
      <c r="C11" s="60"/>
      <c r="D11" s="64" t="s">
        <v>37</v>
      </c>
      <c r="E11" s="60">
        <f>MEDIAN(Motiv)</f>
        <v>3</v>
      </c>
      <c r="F11" s="61" t="s">
        <v>38</v>
      </c>
      <c r="G11" s="62"/>
    </row>
    <row r="12" spans="2:17" x14ac:dyDescent="0.35">
      <c r="C12" s="60"/>
      <c r="D12" s="68"/>
      <c r="E12" s="68"/>
      <c r="F12" s="68"/>
      <c r="G12" s="68"/>
    </row>
    <row r="13" spans="2:17" ht="15" customHeight="1" x14ac:dyDescent="0.35">
      <c r="D13" s="68"/>
      <c r="E13" s="68"/>
      <c r="F13" s="68"/>
      <c r="G13" s="68"/>
      <c r="L13" s="70" t="s">
        <v>45</v>
      </c>
      <c r="M13" s="70"/>
      <c r="N13" s="70"/>
      <c r="O13" s="70"/>
      <c r="P13" s="70"/>
      <c r="Q13" s="70"/>
    </row>
    <row r="14" spans="2:17" x14ac:dyDescent="0.35">
      <c r="D14" s="68"/>
      <c r="E14" s="68"/>
      <c r="F14" s="68"/>
      <c r="G14" s="68"/>
      <c r="L14" s="70" t="s">
        <v>46</v>
      </c>
      <c r="M14" s="70"/>
      <c r="N14" s="70"/>
      <c r="O14" s="70"/>
      <c r="P14" s="70"/>
      <c r="Q14" s="70"/>
    </row>
    <row r="15" spans="2:17" x14ac:dyDescent="0.35">
      <c r="D15" s="68"/>
      <c r="E15" s="68"/>
      <c r="F15" s="68"/>
      <c r="G15" s="68"/>
    </row>
    <row r="16" spans="2:17" ht="29.25" customHeight="1" x14ac:dyDescent="0.35"/>
    <row r="17" spans="2:6" ht="31.5" customHeight="1" x14ac:dyDescent="0.35">
      <c r="B17" t="s">
        <v>39</v>
      </c>
      <c r="D17" s="68"/>
      <c r="E17" s="68"/>
      <c r="F17" s="68"/>
    </row>
    <row r="18" spans="2:6" x14ac:dyDescent="0.35">
      <c r="C18" s="66"/>
      <c r="D18" s="68"/>
      <c r="E18" s="68"/>
      <c r="F18" s="68"/>
    </row>
    <row r="19" spans="2:6" ht="30" customHeight="1" x14ac:dyDescent="0.35">
      <c r="B19" t="s">
        <v>40</v>
      </c>
      <c r="C19" s="66"/>
      <c r="D19" s="68"/>
      <c r="E19" s="68"/>
      <c r="F19" s="68"/>
    </row>
    <row r="20" spans="2:6" x14ac:dyDescent="0.35">
      <c r="B20" t="s">
        <v>41</v>
      </c>
    </row>
    <row r="22" spans="2:6" x14ac:dyDescent="0.35">
      <c r="B22" t="s">
        <v>40</v>
      </c>
    </row>
    <row r="23" spans="2:6" x14ac:dyDescent="0.35">
      <c r="B23" t="s">
        <v>42</v>
      </c>
    </row>
  </sheetData>
  <mergeCells count="7">
    <mergeCell ref="D12:E15"/>
    <mergeCell ref="F12:G15"/>
    <mergeCell ref="D17:F17"/>
    <mergeCell ref="D18:F18"/>
    <mergeCell ref="D19:F19"/>
    <mergeCell ref="L13:Q13"/>
    <mergeCell ref="L14:Q14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6214-BFF6-4869-805F-92A158C3CE0A}">
  <dimension ref="B2:P26"/>
  <sheetViews>
    <sheetView topLeftCell="D1" zoomScale="70" zoomScaleNormal="70" workbookViewId="0">
      <selection activeCell="K20" sqref="K20:P21"/>
    </sheetView>
  </sheetViews>
  <sheetFormatPr baseColWidth="10" defaultRowHeight="14.5" x14ac:dyDescent="0.35"/>
  <cols>
    <col min="2" max="2" width="10.1796875" customWidth="1"/>
    <col min="3" max="3" width="10.81640625" customWidth="1"/>
    <col min="4" max="4" width="14.7265625" bestFit="1" customWidth="1"/>
    <col min="5" max="5" width="17" customWidth="1"/>
    <col min="6" max="6" width="13.54296875" customWidth="1"/>
  </cols>
  <sheetData>
    <row r="2" spans="2:9" ht="43.5" x14ac:dyDescent="0.35">
      <c r="B2" s="29" t="s">
        <v>19</v>
      </c>
      <c r="C2" s="30" t="s">
        <v>14</v>
      </c>
      <c r="D2" s="30" t="s">
        <v>15</v>
      </c>
      <c r="E2" s="31" t="s">
        <v>17</v>
      </c>
    </row>
    <row r="3" spans="2:9" x14ac:dyDescent="0.35">
      <c r="B3" s="32" t="s">
        <v>24</v>
      </c>
      <c r="C3" s="33">
        <v>2</v>
      </c>
      <c r="D3" s="38">
        <f>C3/$C$8*100</f>
        <v>5</v>
      </c>
      <c r="E3" s="39">
        <f>D3</f>
        <v>5</v>
      </c>
    </row>
    <row r="4" spans="2:9" x14ac:dyDescent="0.35">
      <c r="B4" s="34" t="s">
        <v>23</v>
      </c>
      <c r="C4" s="35">
        <v>16</v>
      </c>
      <c r="D4" s="40">
        <f t="shared" ref="D4:D8" si="0">C4/$C$8*100</f>
        <v>40</v>
      </c>
      <c r="E4" s="41">
        <f>D4+E3</f>
        <v>45</v>
      </c>
    </row>
    <row r="5" spans="2:9" x14ac:dyDescent="0.35">
      <c r="B5" s="32" t="s">
        <v>22</v>
      </c>
      <c r="C5" s="33">
        <v>11</v>
      </c>
      <c r="D5" s="38">
        <f t="shared" si="0"/>
        <v>27.500000000000004</v>
      </c>
      <c r="E5" s="39">
        <f t="shared" ref="E5:E7" si="1">D5+E4</f>
        <v>72.5</v>
      </c>
    </row>
    <row r="6" spans="2:9" x14ac:dyDescent="0.35">
      <c r="B6" s="34" t="s">
        <v>21</v>
      </c>
      <c r="C6" s="35">
        <v>8</v>
      </c>
      <c r="D6" s="40">
        <f t="shared" si="0"/>
        <v>20</v>
      </c>
      <c r="E6" s="41">
        <f t="shared" si="1"/>
        <v>92.5</v>
      </c>
    </row>
    <row r="7" spans="2:9" x14ac:dyDescent="0.35">
      <c r="B7" s="32" t="s">
        <v>20</v>
      </c>
      <c r="C7" s="33">
        <v>3</v>
      </c>
      <c r="D7" s="38">
        <f t="shared" si="0"/>
        <v>7.5</v>
      </c>
      <c r="E7" s="39">
        <f t="shared" si="1"/>
        <v>100</v>
      </c>
    </row>
    <row r="8" spans="2:9" x14ac:dyDescent="0.35">
      <c r="B8" s="36" t="s">
        <v>11</v>
      </c>
      <c r="C8" s="37">
        <v>40</v>
      </c>
      <c r="D8" s="42">
        <f t="shared" si="0"/>
        <v>100</v>
      </c>
      <c r="E8" s="43"/>
    </row>
    <row r="10" spans="2:9" ht="15" x14ac:dyDescent="0.35">
      <c r="B10" t="s">
        <v>33</v>
      </c>
      <c r="D10" t="s">
        <v>35</v>
      </c>
      <c r="F10" s="59" t="s">
        <v>37</v>
      </c>
      <c r="G10" s="60"/>
      <c r="H10" s="65" t="s">
        <v>38</v>
      </c>
      <c r="I10" s="60"/>
    </row>
    <row r="11" spans="2:9" x14ac:dyDescent="0.35">
      <c r="F11" s="68"/>
      <c r="G11" s="68"/>
      <c r="H11" s="68"/>
      <c r="I11" s="68"/>
    </row>
    <row r="12" spans="2:9" x14ac:dyDescent="0.35">
      <c r="F12" s="68"/>
      <c r="G12" s="68"/>
      <c r="H12" s="68"/>
      <c r="I12" s="68"/>
    </row>
    <row r="13" spans="2:9" x14ac:dyDescent="0.35">
      <c r="F13" s="68"/>
      <c r="G13" s="68"/>
      <c r="H13" s="68"/>
      <c r="I13" s="68"/>
    </row>
    <row r="14" spans="2:9" x14ac:dyDescent="0.35">
      <c r="F14" s="68"/>
      <c r="G14" s="68"/>
      <c r="H14" s="68"/>
      <c r="I14" s="68"/>
    </row>
    <row r="15" spans="2:9" x14ac:dyDescent="0.35">
      <c r="F15" s="68"/>
      <c r="G15" s="68"/>
      <c r="H15" s="68"/>
      <c r="I15" s="68"/>
    </row>
    <row r="17" spans="2:16" ht="32.25" customHeight="1" x14ac:dyDescent="0.35">
      <c r="B17" t="s">
        <v>39</v>
      </c>
      <c r="D17" s="68"/>
      <c r="E17" s="68"/>
      <c r="F17" s="68"/>
    </row>
    <row r="18" spans="2:16" x14ac:dyDescent="0.35">
      <c r="C18" s="67"/>
      <c r="D18" s="68"/>
      <c r="E18" s="68"/>
      <c r="F18" s="68"/>
    </row>
    <row r="19" spans="2:16" ht="30" customHeight="1" x14ac:dyDescent="0.35">
      <c r="B19" t="s">
        <v>40</v>
      </c>
      <c r="C19" s="67"/>
      <c r="D19" s="68"/>
      <c r="E19" s="68"/>
      <c r="F19" s="68"/>
    </row>
    <row r="20" spans="2:16" x14ac:dyDescent="0.35">
      <c r="B20" t="s">
        <v>41</v>
      </c>
      <c r="C20" s="67"/>
      <c r="K20" s="70" t="s">
        <v>45</v>
      </c>
      <c r="L20" s="70"/>
      <c r="M20" s="70"/>
      <c r="N20" s="70"/>
      <c r="O20" s="70"/>
      <c r="P20" s="70"/>
    </row>
    <row r="21" spans="2:16" x14ac:dyDescent="0.35">
      <c r="K21" s="70" t="s">
        <v>46</v>
      </c>
      <c r="L21" s="70"/>
      <c r="M21" s="70"/>
      <c r="N21" s="70"/>
      <c r="O21" s="70"/>
      <c r="P21" s="70"/>
    </row>
    <row r="22" spans="2:16" x14ac:dyDescent="0.35">
      <c r="B22" t="s">
        <v>42</v>
      </c>
    </row>
    <row r="23" spans="2:16" x14ac:dyDescent="0.35">
      <c r="B23" t="s">
        <v>40</v>
      </c>
    </row>
    <row r="24" spans="2:16" x14ac:dyDescent="0.35">
      <c r="B24" t="s">
        <v>43</v>
      </c>
      <c r="C24" s="66"/>
      <c r="D24" s="68"/>
      <c r="E24" s="68"/>
      <c r="F24" s="68"/>
    </row>
    <row r="25" spans="2:16" ht="34.5" customHeight="1" x14ac:dyDescent="0.35">
      <c r="D25" s="68"/>
      <c r="E25" s="68"/>
      <c r="F25" s="68"/>
    </row>
    <row r="26" spans="2:16" ht="32.25" customHeight="1" x14ac:dyDescent="0.35"/>
  </sheetData>
  <mergeCells count="8">
    <mergeCell ref="K20:P20"/>
    <mergeCell ref="K21:P21"/>
    <mergeCell ref="D24:F25"/>
    <mergeCell ref="F11:G15"/>
    <mergeCell ref="H11:I15"/>
    <mergeCell ref="D17:F17"/>
    <mergeCell ref="D18:F18"/>
    <mergeCell ref="D19:F19"/>
  </mergeCells>
  <pageMargins left="0.7" right="0.7" top="0.75" bottom="0.75" header="0.3" footer="0.3"/>
  <pageSetup paperSize="145" orientation="portrait" verticalDpi="599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31CE-6FF2-406A-AC16-E0088503587D}">
  <dimension ref="B2:Q39"/>
  <sheetViews>
    <sheetView tabSelected="1" topLeftCell="D1" zoomScale="85" zoomScaleNormal="85" zoomScaleSheetLayoutView="80" workbookViewId="0">
      <selection activeCell="J2" sqref="J2"/>
    </sheetView>
  </sheetViews>
  <sheetFormatPr baseColWidth="10" defaultRowHeight="14.5" x14ac:dyDescent="0.35"/>
  <cols>
    <col min="2" max="2" width="24.54296875" customWidth="1"/>
    <col min="3" max="3" width="10.54296875" customWidth="1"/>
    <col min="4" max="4" width="16.54296875" bestFit="1" customWidth="1"/>
    <col min="5" max="5" width="18.1796875" customWidth="1"/>
    <col min="7" max="7" width="15.54296875" customWidth="1"/>
  </cols>
  <sheetData>
    <row r="2" spans="2:11" ht="48" customHeight="1" x14ac:dyDescent="0.35">
      <c r="B2" s="44" t="s">
        <v>25</v>
      </c>
      <c r="C2" s="45" t="s">
        <v>14</v>
      </c>
      <c r="D2" s="45" t="s">
        <v>15</v>
      </c>
      <c r="E2" s="46" t="s">
        <v>17</v>
      </c>
    </row>
    <row r="3" spans="2:11" x14ac:dyDescent="0.35">
      <c r="B3" s="47" t="s">
        <v>26</v>
      </c>
      <c r="C3" s="48">
        <v>5</v>
      </c>
      <c r="D3" s="49">
        <f>C3/$C$10*100</f>
        <v>12.5</v>
      </c>
      <c r="E3" s="50">
        <f>D3</f>
        <v>12.5</v>
      </c>
      <c r="J3">
        <v>6</v>
      </c>
      <c r="K3">
        <v>0</v>
      </c>
    </row>
    <row r="4" spans="2:11" x14ac:dyDescent="0.35">
      <c r="B4" s="51" t="s">
        <v>28</v>
      </c>
      <c r="C4" s="52">
        <v>9</v>
      </c>
      <c r="D4" s="53">
        <f t="shared" ref="D4:D10" si="0">C4/$C$10*100</f>
        <v>22.5</v>
      </c>
      <c r="E4" s="54">
        <f>D4+E3</f>
        <v>35</v>
      </c>
      <c r="J4">
        <v>6.5</v>
      </c>
      <c r="K4">
        <v>12.5</v>
      </c>
    </row>
    <row r="5" spans="2:11" x14ac:dyDescent="0.35">
      <c r="B5" s="47" t="s">
        <v>27</v>
      </c>
      <c r="C5" s="48">
        <v>9</v>
      </c>
      <c r="D5" s="49">
        <f t="shared" si="0"/>
        <v>22.5</v>
      </c>
      <c r="E5" s="50">
        <f t="shared" ref="E5:E9" si="1">D5+E4</f>
        <v>57.5</v>
      </c>
      <c r="J5">
        <v>7</v>
      </c>
      <c r="K5">
        <v>35</v>
      </c>
    </row>
    <row r="6" spans="2:11" x14ac:dyDescent="0.35">
      <c r="B6" s="51" t="s">
        <v>29</v>
      </c>
      <c r="C6" s="52">
        <v>8</v>
      </c>
      <c r="D6" s="53">
        <f t="shared" si="0"/>
        <v>20</v>
      </c>
      <c r="E6" s="54">
        <f t="shared" si="1"/>
        <v>77.5</v>
      </c>
      <c r="J6">
        <v>7.5</v>
      </c>
      <c r="K6">
        <v>57.5</v>
      </c>
    </row>
    <row r="7" spans="2:11" x14ac:dyDescent="0.35">
      <c r="B7" s="47" t="s">
        <v>30</v>
      </c>
      <c r="C7" s="48">
        <v>6</v>
      </c>
      <c r="D7" s="49">
        <f t="shared" si="0"/>
        <v>15</v>
      </c>
      <c r="E7" s="50">
        <f t="shared" si="1"/>
        <v>92.5</v>
      </c>
      <c r="J7">
        <v>8</v>
      </c>
      <c r="K7">
        <v>77.5</v>
      </c>
    </row>
    <row r="8" spans="2:11" x14ac:dyDescent="0.35">
      <c r="B8" s="51" t="s">
        <v>31</v>
      </c>
      <c r="C8" s="52">
        <v>1</v>
      </c>
      <c r="D8" s="53">
        <f t="shared" si="0"/>
        <v>2.5</v>
      </c>
      <c r="E8" s="54">
        <f t="shared" si="1"/>
        <v>95</v>
      </c>
      <c r="J8">
        <v>8.5</v>
      </c>
      <c r="K8">
        <v>92.5</v>
      </c>
    </row>
    <row r="9" spans="2:11" x14ac:dyDescent="0.35">
      <c r="B9" s="47" t="s">
        <v>32</v>
      </c>
      <c r="C9" s="48">
        <v>2</v>
      </c>
      <c r="D9" s="49">
        <f t="shared" si="0"/>
        <v>5</v>
      </c>
      <c r="E9" s="50">
        <f t="shared" si="1"/>
        <v>100</v>
      </c>
      <c r="J9">
        <v>9</v>
      </c>
      <c r="K9">
        <v>95</v>
      </c>
    </row>
    <row r="10" spans="2:11" x14ac:dyDescent="0.35">
      <c r="B10" s="55" t="s">
        <v>11</v>
      </c>
      <c r="C10" s="56">
        <v>40</v>
      </c>
      <c r="D10" s="57">
        <f t="shared" si="0"/>
        <v>100</v>
      </c>
      <c r="E10" s="58"/>
      <c r="J10">
        <v>9.5</v>
      </c>
      <c r="K10">
        <v>100</v>
      </c>
    </row>
    <row r="12" spans="2:11" ht="15" x14ac:dyDescent="0.35">
      <c r="B12" t="s">
        <v>33</v>
      </c>
      <c r="D12" t="s">
        <v>36</v>
      </c>
      <c r="F12" s="59" t="s">
        <v>37</v>
      </c>
      <c r="G12" s="60"/>
      <c r="H12" s="65" t="s">
        <v>38</v>
      </c>
      <c r="I12" s="60"/>
    </row>
    <row r="13" spans="2:11" x14ac:dyDescent="0.35">
      <c r="F13" s="68"/>
      <c r="G13" s="68"/>
      <c r="H13" s="68"/>
      <c r="I13" s="68"/>
    </row>
    <row r="14" spans="2:11" x14ac:dyDescent="0.35">
      <c r="F14" s="68"/>
      <c r="G14" s="68"/>
      <c r="H14" s="68"/>
      <c r="I14" s="68"/>
    </row>
    <row r="15" spans="2:11" x14ac:dyDescent="0.35">
      <c r="F15" s="68"/>
      <c r="G15" s="68"/>
      <c r="H15" s="68"/>
      <c r="I15" s="68"/>
    </row>
    <row r="16" spans="2:11" ht="37.5" customHeight="1" x14ac:dyDescent="0.35">
      <c r="F16" s="68"/>
      <c r="G16" s="68"/>
      <c r="H16" s="68"/>
      <c r="I16" s="68"/>
    </row>
    <row r="17" spans="2:17" ht="47.25" customHeight="1" x14ac:dyDescent="0.35">
      <c r="B17" t="s">
        <v>39</v>
      </c>
      <c r="D17" s="68"/>
      <c r="E17" s="68"/>
      <c r="F17" s="68"/>
      <c r="L17" s="70" t="s">
        <v>45</v>
      </c>
      <c r="M17" s="70"/>
      <c r="N17" s="70"/>
      <c r="O17" s="70"/>
      <c r="P17" s="70"/>
      <c r="Q17" s="70"/>
    </row>
    <row r="18" spans="2:17" ht="32.25" customHeight="1" x14ac:dyDescent="0.35">
      <c r="C18" s="66"/>
      <c r="D18" s="68"/>
      <c r="E18" s="68"/>
      <c r="F18" s="68"/>
      <c r="L18" s="70" t="s">
        <v>47</v>
      </c>
      <c r="M18" s="70"/>
      <c r="N18" s="70"/>
      <c r="O18" s="70"/>
      <c r="P18" s="70"/>
      <c r="Q18" s="70"/>
    </row>
    <row r="19" spans="2:17" ht="30.75" customHeight="1" x14ac:dyDescent="0.35">
      <c r="B19" t="s">
        <v>40</v>
      </c>
      <c r="C19" s="66"/>
      <c r="D19" s="68"/>
      <c r="E19" s="68"/>
      <c r="F19" s="68"/>
    </row>
    <row r="20" spans="2:17" ht="45" customHeight="1" x14ac:dyDescent="0.35">
      <c r="B20" t="s">
        <v>41</v>
      </c>
      <c r="C20" s="67"/>
    </row>
    <row r="37" spans="3:7" x14ac:dyDescent="0.35">
      <c r="C37" t="s">
        <v>43</v>
      </c>
      <c r="D37" s="66"/>
      <c r="E37" s="68"/>
      <c r="F37" s="68"/>
      <c r="G37" s="68"/>
    </row>
    <row r="38" spans="3:7" x14ac:dyDescent="0.35">
      <c r="E38" s="68"/>
      <c r="F38" s="68"/>
      <c r="G38" s="68"/>
    </row>
    <row r="39" spans="3:7" x14ac:dyDescent="0.35">
      <c r="E39" s="68"/>
      <c r="F39" s="68"/>
      <c r="G39" s="68"/>
    </row>
  </sheetData>
  <mergeCells count="8">
    <mergeCell ref="L17:Q17"/>
    <mergeCell ref="L18:Q18"/>
    <mergeCell ref="E37:G39"/>
    <mergeCell ref="F13:G16"/>
    <mergeCell ref="H13:I16"/>
    <mergeCell ref="D17:F17"/>
    <mergeCell ref="D18:F18"/>
    <mergeCell ref="D19:F19"/>
  </mergeCells>
  <phoneticPr fontId="3" type="noConversion"/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10</vt:i4>
      </vt:variant>
    </vt:vector>
  </HeadingPairs>
  <TitlesOfParts>
    <vt:vector size="15" baseType="lpstr">
      <vt:lpstr>Données</vt:lpstr>
      <vt:lpstr>Exemple 3.2</vt:lpstr>
      <vt:lpstr>Exemple 3.3</vt:lpstr>
      <vt:lpstr>Exemple 3.4</vt:lpstr>
      <vt:lpstr>Exemple 3.5</vt:lpstr>
      <vt:lpstr>Âge</vt:lpstr>
      <vt:lpstr>Choix</vt:lpstr>
      <vt:lpstr>Données</vt:lpstr>
      <vt:lpstr>Échecs</vt:lpstr>
      <vt:lpstr>Étude</vt:lpstr>
      <vt:lpstr>Individu</vt:lpstr>
      <vt:lpstr>Main</vt:lpstr>
      <vt:lpstr>Motiv</vt:lpstr>
      <vt:lpstr>Moy.générale</vt:lpstr>
      <vt:lpstr>Temps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</dc:creator>
  <cp:keywords/>
  <dc:description/>
  <cp:lastModifiedBy>Gauvreau Louis</cp:lastModifiedBy>
  <cp:revision/>
  <dcterms:created xsi:type="dcterms:W3CDTF">2015-01-28T18:04:26Z</dcterms:created>
  <dcterms:modified xsi:type="dcterms:W3CDTF">2026-09-09T17:44:37Z</dcterms:modified>
  <cp:category/>
  <cp:contentStatus/>
</cp:coreProperties>
</file>