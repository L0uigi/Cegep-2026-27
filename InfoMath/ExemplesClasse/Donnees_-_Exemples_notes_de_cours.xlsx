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egepGit\InfoMath\ExemplesClasse\"/>
    </mc:Choice>
  </mc:AlternateContent>
  <xr:revisionPtr revIDLastSave="0" documentId="8_{4746EAF9-FB4D-46CD-BE7E-CFD93D908B6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euil2" sheetId="3" r:id="rId1"/>
    <sheet name="Données" sheetId="1" r:id="rId2"/>
  </sheets>
  <definedNames>
    <definedName name="Âge">Données!$B$2:$B$41</definedName>
    <definedName name="Choix">Données!$D$2:$D$41</definedName>
    <definedName name="Données">Données!$A$1:$I$41</definedName>
    <definedName name="Échecs">Données!$H$2:$H$41</definedName>
    <definedName name="Étude">Données!$F$2:$F$41</definedName>
    <definedName name="Individu">Données!$A$2:$A$41</definedName>
    <definedName name="Main">Données!$E$2:$E$41</definedName>
    <definedName name="Motiv">Données!$C$2:$C$41</definedName>
    <definedName name="Moy.générale">Données!$G$2:$G$41</definedName>
    <definedName name="Temps">Données!$I$2:$I$41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1" l="1"/>
  <c r="R20" i="1"/>
  <c r="M40" i="1"/>
  <c r="M41" i="1"/>
  <c r="N41" i="1" s="1"/>
  <c r="M42" i="1"/>
  <c r="M43" i="1"/>
  <c r="M44" i="1"/>
  <c r="M45" i="1"/>
  <c r="M46" i="1"/>
  <c r="M47" i="1"/>
  <c r="M48" i="1"/>
  <c r="M49" i="1"/>
  <c r="L32" i="1"/>
  <c r="L31" i="1"/>
  <c r="M24" i="1"/>
  <c r="M25" i="1"/>
  <c r="M23" i="1"/>
  <c r="M10" i="1"/>
  <c r="M11" i="1"/>
  <c r="M12" i="1"/>
  <c r="M13" i="1"/>
  <c r="M14" i="1"/>
  <c r="M15" i="1"/>
  <c r="M9" i="1"/>
  <c r="N9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L33" i="1" l="1"/>
  <c r="L35" i="1" s="1"/>
  <c r="R22" i="1"/>
  <c r="R24" i="1" s="1"/>
  <c r="N42" i="1"/>
  <c r="N43" i="1" s="1"/>
  <c r="N44" i="1" s="1"/>
  <c r="N45" i="1" s="1"/>
  <c r="N46" i="1" s="1"/>
  <c r="N47" i="1" s="1"/>
  <c r="N48" i="1" s="1"/>
  <c r="N10" i="1"/>
  <c r="N11" i="1" s="1"/>
  <c r="N12" i="1" s="1"/>
  <c r="N13" i="1" s="1"/>
  <c r="N14" i="1" s="1"/>
</calcChain>
</file>

<file path=xl/sharedStrings.xml><?xml version="1.0" encoding="utf-8"?>
<sst xmlns="http://schemas.openxmlformats.org/spreadsheetml/2006/main" count="109" uniqueCount="57">
  <si>
    <t>Individu</t>
  </si>
  <si>
    <t>Âge</t>
  </si>
  <si>
    <t>Motiv</t>
  </si>
  <si>
    <t>Choix</t>
  </si>
  <si>
    <t>Main</t>
  </si>
  <si>
    <t>Étude</t>
  </si>
  <si>
    <t>Moy.générale</t>
  </si>
  <si>
    <t>Échecs</t>
  </si>
  <si>
    <t>Temps</t>
  </si>
  <si>
    <t>G</t>
  </si>
  <si>
    <t>D</t>
  </si>
  <si>
    <t>Étiquettes de lignes</t>
  </si>
  <si>
    <t>Total général</t>
  </si>
  <si>
    <t>Pourcentage cumulé d'étudiant.es</t>
  </si>
  <si>
    <t>Pourcentage d'étudiant.es</t>
  </si>
  <si>
    <t>Total</t>
  </si>
  <si>
    <t>Niveau de motivation</t>
  </si>
  <si>
    <t>Source : Inconnue</t>
  </si>
  <si>
    <t>Nombre d'étudiant.es</t>
  </si>
  <si>
    <t>Remarque :  22,5 % des etudiants ont un niveau de motivation très bas.</t>
  </si>
  <si>
    <t>Répartition de 40 étudiant.es selon son niveau de motivation, CVM,2023</t>
  </si>
  <si>
    <t>Remarque: la grande majorité est droitière</t>
  </si>
  <si>
    <t>Répartition de 40 étudiant.es selon la main principale, CVM, 2023</t>
  </si>
  <si>
    <t>Source: Inconnue.</t>
  </si>
  <si>
    <t>Droit</t>
  </si>
  <si>
    <t>Gauche</t>
  </si>
  <si>
    <t>Maximum=</t>
  </si>
  <si>
    <t>Minimum=</t>
  </si>
  <si>
    <t>Étendue=</t>
  </si>
  <si>
    <t>Nombre de classe=</t>
  </si>
  <si>
    <t>Ampitude Idéale=</t>
  </si>
  <si>
    <t>Amplitude Choisi=</t>
  </si>
  <si>
    <t>À faire pour EXAMs</t>
  </si>
  <si>
    <t>65-69</t>
  </si>
  <si>
    <t>70-74</t>
  </si>
  <si>
    <t>75-79</t>
  </si>
  <si>
    <t>80-84</t>
  </si>
  <si>
    <t>85-89</t>
  </si>
  <si>
    <t>90-94</t>
  </si>
  <si>
    <t>95-100</t>
  </si>
  <si>
    <t>Moyenne Générale</t>
  </si>
  <si>
    <t>Pourcentage cumulée</t>
  </si>
  <si>
    <t>[55-59[</t>
  </si>
  <si>
    <t>[60-64[</t>
  </si>
  <si>
    <t>Source: Inconnue</t>
  </si>
  <si>
    <t>Remarque: Plus de 50% des étudiant.es ont eu plus de 70%</t>
  </si>
  <si>
    <t>15-16</t>
  </si>
  <si>
    <t>17-18</t>
  </si>
  <si>
    <t>19-20</t>
  </si>
  <si>
    <t>21-22</t>
  </si>
  <si>
    <t>23-24</t>
  </si>
  <si>
    <t>25-26</t>
  </si>
  <si>
    <t>33-35</t>
  </si>
  <si>
    <t>Âge des étudiant.es</t>
  </si>
  <si>
    <t>Source</t>
  </si>
  <si>
    <t>Remarque</t>
  </si>
  <si>
    <t>Pourcentage Cumulé d'étudiant.es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</si>
</sst>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1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10" xfId="0" applyFill="1" applyBorder="1"/>
    <xf numFmtId="0" fontId="0" fillId="2" borderId="11" xfId="0" applyFill="1" applyBorder="1"/>
    <xf numFmtId="0" fontId="1" fillId="3" borderId="13" xfId="0" applyFont="1" applyFill="1" applyBorder="1"/>
    <xf numFmtId="0" fontId="1" fillId="3" borderId="14" xfId="0" applyFont="1" applyFill="1" applyBorder="1"/>
    <xf numFmtId="0" fontId="1" fillId="3" borderId="15" xfId="0" applyFont="1" applyFill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/>
    <xf numFmtId="164" fontId="0" fillId="2" borderId="14" xfId="0" applyNumberFormat="1" applyFill="1" applyBorder="1"/>
    <xf numFmtId="164" fontId="0" fillId="2" borderId="15" xfId="0" applyNumberForma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164" fontId="0" fillId="0" borderId="14" xfId="0" applyNumberFormat="1" applyBorder="1"/>
    <xf numFmtId="164" fontId="0" fillId="0" borderId="15" xfId="0" applyNumberFormat="1" applyBorder="1" applyAlignment="1">
      <alignment horizontal="center"/>
    </xf>
    <xf numFmtId="164" fontId="0" fillId="2" borderId="11" xfId="0" applyNumberFormat="1" applyFill="1" applyBorder="1"/>
    <xf numFmtId="0" fontId="0" fillId="2" borderId="12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17" xfId="0" applyBorder="1"/>
    <xf numFmtId="0" fontId="0" fillId="0" borderId="17" xfId="0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67.614073842589" createdVersion="8" refreshedVersion="8" minRefreshableVersion="3" recordCount="10" xr:uid="{26070C5E-C586-4908-A4FE-AD991B86057B}">
  <cacheSource type="worksheet">
    <worksheetSource ref="Q8:U18" sheet="Données"/>
  </cacheSource>
  <cacheFields count="5">
    <cacheField name="Âge des étudiant.es" numFmtId="0">
      <sharedItems/>
    </cacheField>
    <cacheField name="Nombre d'étudiant.es" numFmtId="0">
      <sharedItems containsString="0" containsBlank="1" containsNumber="1" containsInteger="1" minValue="1" maxValue="40"/>
    </cacheField>
    <cacheField name="Pourcentage d'étudiant.es" numFmtId="0">
      <sharedItems containsString="0" containsBlank="1" containsNumber="1" minValue="2.5" maxValue="100"/>
    </cacheField>
    <cacheField name="Champ4" caption="Champ4" numFmtId="0">
      <sharedItems containsNonDate="0" containsString="0" containsBlank="1"/>
    </cacheField>
    <cacheField name="Pourcentage Cumulé d'étudiant.es" numFmtId="0">
      <sharedItems containsString="0" containsBlank="1" containsNumber="1" minValue="2.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15-16"/>
    <n v="1"/>
    <n v="2.5"/>
    <m/>
    <n v="2.5"/>
  </r>
  <r>
    <s v="17-18"/>
    <n v="16"/>
    <n v="40"/>
    <m/>
    <n v="42.5"/>
  </r>
  <r>
    <s v="19-20"/>
    <n v="15"/>
    <n v="37.5"/>
    <m/>
    <n v="80"/>
  </r>
  <r>
    <s v="21-22"/>
    <n v="3"/>
    <n v="7.5"/>
    <m/>
    <n v="87.5"/>
  </r>
  <r>
    <s v="23-24"/>
    <n v="1"/>
    <n v="2.5"/>
    <m/>
    <n v="90"/>
  </r>
  <r>
    <s v="25-26"/>
    <n v="3"/>
    <n v="7.5"/>
    <m/>
    <n v="97.5"/>
  </r>
  <r>
    <s v="33-35"/>
    <n v="1"/>
    <n v="2.5"/>
    <m/>
    <n v="100"/>
  </r>
  <r>
    <s v="Total général"/>
    <n v="40"/>
    <n v="100"/>
    <m/>
    <m/>
  </r>
  <r>
    <s v="Source"/>
    <m/>
    <m/>
    <m/>
    <m/>
  </r>
  <r>
    <s v="Remarque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B3081-A456-42EA-A1DB-D9A8A80CD09D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20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D275F3-D5C2-458E-B85E-0BB135DC7964}" name="Tableau3" displayName="Tableau3" ref="K22:M25" totalsRowShown="0">
  <autoFilter ref="K22:M25" xr:uid="{00D275F3-D5C2-458E-B85E-0BB135DC7964}">
    <filterColumn colId="0" hiddenButton="1"/>
    <filterColumn colId="1" hiddenButton="1"/>
    <filterColumn colId="2" hiddenButton="1"/>
  </autoFilter>
  <tableColumns count="3">
    <tableColumn id="1" xr3:uid="{E3C40644-8AE1-45C1-8D27-468E10525DD5}" name="Étiquettes de lignes"/>
    <tableColumn id="2" xr3:uid="{572CB24C-1253-4E92-B65E-167B391256E2}" name="Nombre d'étudiant.es"/>
    <tableColumn id="3" xr3:uid="{E3075F66-DBB0-4D12-B453-B89B04D58E78}" name="Pourcentage d'étudiant.es">
      <calculatedColumnFormula>L23/$L$25 * 100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76DB4F-F158-429A-ACE6-9A1ED6EB23BA}" name="Tableau4" displayName="Tableau4" ref="K39:N49" totalsRowShown="0" headerRowDxfId="5" dataDxfId="4">
  <autoFilter ref="K39:N49" xr:uid="{C776DB4F-F158-429A-ACE6-9A1ED6EB23BA}">
    <filterColumn colId="0" hiddenButton="1"/>
    <filterColumn colId="1" hiddenButton="1"/>
    <filterColumn colId="2" hiddenButton="1"/>
    <filterColumn colId="3" hiddenButton="1"/>
  </autoFilter>
  <tableColumns count="4">
    <tableColumn id="1" xr3:uid="{F2FB24E5-729A-4487-BA49-EBC8A5A580A0}" name="Moyenne Générale" dataDxfId="3"/>
    <tableColumn id="2" xr3:uid="{AA856B57-6283-4604-B36C-EDC04437DC4C}" name="Nombre d'étudiant.es" dataDxfId="2"/>
    <tableColumn id="3" xr3:uid="{1C17DF40-1F8A-4A08-90F9-A4F75815ACE4}" name="Pourcentage d'étudiant.es" dataDxfId="1">
      <calculatedColumnFormula>Tableau4[[#This Row],[Nombre d''étudiant.es]]/$L$49*100</calculatedColumnFormula>
    </tableColumn>
    <tableColumn id="4" xr3:uid="{BF6B51D0-8034-45E4-A1F2-0B1A74AB08F0}" name="Pourcentage cumulée" dataDxfId="0">
      <calculatedColumnFormula>N39+Tableau4[[#This Row],[Pourcentage d''étudiant.es]]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119C11-FDB0-4C20-BF77-59D053063196}" name="Tableau6" displayName="Tableau6" ref="Q8:R18" totalsRowShown="0">
  <autoFilter ref="Q8:R18" xr:uid="{43119C11-FDB0-4C20-BF77-59D053063196}">
    <filterColumn colId="0" hiddenButton="1"/>
    <filterColumn colId="1" hiddenButton="1"/>
  </autoFilter>
  <tableColumns count="2">
    <tableColumn id="1" xr3:uid="{37CBC284-8FFD-47DC-A24D-5AC63DC4923A}" name="Âge des étudiant.es"/>
    <tableColumn id="2" xr3:uid="{60FC77FA-96CC-46C0-B1F0-5FDDBFCC3753}" name="Nombre d'étudiant.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53BB-F3F4-4A15-9416-A3628BE8ECDA}">
  <dimension ref="A3:C20"/>
  <sheetViews>
    <sheetView workbookViewId="0">
      <selection activeCell="A3" sqref="A3"/>
    </sheetView>
  </sheetViews>
  <sheetFormatPr defaultColWidth="11.42578125" defaultRowHeight="15" x14ac:dyDescent="0.25"/>
  <sheetData>
    <row r="3" spans="1:3" x14ac:dyDescent="0.25">
      <c r="A3" s="3"/>
      <c r="B3" s="4"/>
      <c r="C3" s="5"/>
    </row>
    <row r="4" spans="1:3" x14ac:dyDescent="0.25">
      <c r="A4" s="6"/>
      <c r="B4" s="7"/>
      <c r="C4" s="8"/>
    </row>
    <row r="5" spans="1:3" x14ac:dyDescent="0.25">
      <c r="A5" s="6"/>
      <c r="B5" s="7"/>
      <c r="C5" s="8"/>
    </row>
    <row r="6" spans="1:3" x14ac:dyDescent="0.25">
      <c r="A6" s="6"/>
      <c r="B6" s="7"/>
      <c r="C6" s="8"/>
    </row>
    <row r="7" spans="1:3" x14ac:dyDescent="0.25">
      <c r="A7" s="6"/>
      <c r="B7" s="7"/>
      <c r="C7" s="8"/>
    </row>
    <row r="8" spans="1:3" x14ac:dyDescent="0.25">
      <c r="A8" s="6"/>
      <c r="B8" s="7"/>
      <c r="C8" s="8"/>
    </row>
    <row r="9" spans="1:3" x14ac:dyDescent="0.25">
      <c r="A9" s="6"/>
      <c r="B9" s="7"/>
      <c r="C9" s="8"/>
    </row>
    <row r="10" spans="1:3" x14ac:dyDescent="0.25">
      <c r="A10" s="6"/>
      <c r="B10" s="7"/>
      <c r="C10" s="8"/>
    </row>
    <row r="11" spans="1:3" x14ac:dyDescent="0.25">
      <c r="A11" s="6"/>
      <c r="B11" s="7"/>
      <c r="C11" s="8"/>
    </row>
    <row r="12" spans="1:3" x14ac:dyDescent="0.25">
      <c r="A12" s="6"/>
      <c r="B12" s="7"/>
      <c r="C12" s="8"/>
    </row>
    <row r="13" spans="1:3" x14ac:dyDescent="0.25">
      <c r="A13" s="6"/>
      <c r="B13" s="7"/>
      <c r="C13" s="8"/>
    </row>
    <row r="14" spans="1:3" x14ac:dyDescent="0.25">
      <c r="A14" s="6"/>
      <c r="B14" s="7"/>
      <c r="C14" s="8"/>
    </row>
    <row r="15" spans="1:3" x14ac:dyDescent="0.25">
      <c r="A15" s="6"/>
      <c r="B15" s="7"/>
      <c r="C15" s="8"/>
    </row>
    <row r="16" spans="1:3" x14ac:dyDescent="0.25">
      <c r="A16" s="6"/>
      <c r="B16" s="7"/>
      <c r="C16" s="8"/>
    </row>
    <row r="17" spans="1:3" x14ac:dyDescent="0.25">
      <c r="A17" s="6"/>
      <c r="B17" s="7"/>
      <c r="C17" s="8"/>
    </row>
    <row r="18" spans="1:3" x14ac:dyDescent="0.25">
      <c r="A18" s="6"/>
      <c r="B18" s="7"/>
      <c r="C18" s="8"/>
    </row>
    <row r="19" spans="1:3" x14ac:dyDescent="0.25">
      <c r="A19" s="6"/>
      <c r="B19" s="7"/>
      <c r="C19" s="8"/>
    </row>
    <row r="20" spans="1:3" x14ac:dyDescent="0.25">
      <c r="A20" s="9"/>
      <c r="B20" s="10"/>
      <c r="C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tabSelected="1" topLeftCell="I1" zoomScale="70" zoomScaleNormal="70" zoomScaleSheetLayoutView="100" workbookViewId="0">
      <selection activeCell="N22" sqref="N22"/>
    </sheetView>
  </sheetViews>
  <sheetFormatPr defaultColWidth="9.140625" defaultRowHeight="15" x14ac:dyDescent="0.25"/>
  <cols>
    <col min="1" max="1" width="9.42578125" style="1" customWidth="1"/>
    <col min="2" max="3" width="6.42578125" style="1" customWidth="1"/>
    <col min="4" max="4" width="7" style="1" customWidth="1"/>
    <col min="5" max="5" width="7.28515625" style="1" customWidth="1"/>
    <col min="6" max="6" width="9.7109375" style="1" customWidth="1"/>
    <col min="7" max="7" width="13.85546875" style="1" customWidth="1"/>
    <col min="8" max="8" width="9.28515625" style="1" customWidth="1"/>
    <col min="9" max="9" width="9.140625" style="1" customWidth="1"/>
    <col min="11" max="11" width="20.140625" bestFit="1" customWidth="1"/>
    <col min="12" max="12" width="22.28515625" bestFit="1" customWidth="1"/>
    <col min="13" max="13" width="24" customWidth="1"/>
    <col min="14" max="14" width="30.42578125" customWidth="1"/>
    <col min="15" max="15" width="10.5703125" customWidth="1"/>
    <col min="17" max="17" width="20.140625" bestFit="1" customWidth="1"/>
    <col min="18" max="18" width="20.5703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2" x14ac:dyDescent="0.25">
      <c r="A2" s="1">
        <v>1</v>
      </c>
      <c r="B2" s="1">
        <v>18</v>
      </c>
      <c r="C2" s="1">
        <v>4</v>
      </c>
      <c r="D2" s="1">
        <v>1</v>
      </c>
      <c r="E2" s="1" t="s">
        <v>9</v>
      </c>
      <c r="F2" s="1">
        <v>2</v>
      </c>
      <c r="G2" s="1">
        <v>70</v>
      </c>
      <c r="H2" s="1">
        <v>1</v>
      </c>
      <c r="I2" s="1">
        <v>7.54</v>
      </c>
    </row>
    <row r="3" spans="1:22" x14ac:dyDescent="0.25">
      <c r="A3" s="1">
        <f>A2+1</f>
        <v>2</v>
      </c>
      <c r="B3" s="1">
        <v>17</v>
      </c>
      <c r="C3" s="1">
        <v>1</v>
      </c>
      <c r="D3" s="1">
        <v>2</v>
      </c>
      <c r="E3" s="1" t="s">
        <v>10</v>
      </c>
      <c r="F3" s="1">
        <v>15</v>
      </c>
      <c r="G3" s="1">
        <v>81</v>
      </c>
      <c r="H3" s="1">
        <v>0</v>
      </c>
      <c r="I3" s="1">
        <v>6.91</v>
      </c>
    </row>
    <row r="4" spans="1:22" x14ac:dyDescent="0.25">
      <c r="A4" s="1">
        <f t="shared" ref="A4:A41" si="0">A3+1</f>
        <v>3</v>
      </c>
      <c r="B4" s="1">
        <v>17</v>
      </c>
      <c r="C4" s="1">
        <v>2</v>
      </c>
      <c r="D4" s="1">
        <v>2</v>
      </c>
      <c r="E4" s="1" t="s">
        <v>10</v>
      </c>
      <c r="F4" s="1">
        <v>7</v>
      </c>
      <c r="G4" s="1">
        <v>66</v>
      </c>
      <c r="H4" s="1">
        <v>2</v>
      </c>
      <c r="I4" s="1">
        <v>6.89</v>
      </c>
    </row>
    <row r="5" spans="1:22" x14ac:dyDescent="0.25">
      <c r="A5" s="1">
        <f t="shared" si="0"/>
        <v>4</v>
      </c>
      <c r="B5" s="1">
        <v>18</v>
      </c>
      <c r="C5" s="1">
        <v>5</v>
      </c>
      <c r="D5" s="1">
        <v>1</v>
      </c>
      <c r="E5" s="1" t="s">
        <v>10</v>
      </c>
      <c r="F5" s="1">
        <v>10</v>
      </c>
      <c r="G5" s="1">
        <v>62</v>
      </c>
      <c r="H5" s="1">
        <v>3</v>
      </c>
      <c r="I5" s="1">
        <v>7.81</v>
      </c>
    </row>
    <row r="6" spans="1:22" x14ac:dyDescent="0.25">
      <c r="A6" s="1">
        <f t="shared" si="0"/>
        <v>5</v>
      </c>
      <c r="B6" s="1">
        <v>19</v>
      </c>
      <c r="C6" s="1">
        <v>0</v>
      </c>
      <c r="D6" s="1">
        <v>2</v>
      </c>
      <c r="E6" s="1" t="s">
        <v>9</v>
      </c>
      <c r="F6" s="1">
        <v>9</v>
      </c>
      <c r="G6" s="1">
        <v>62</v>
      </c>
      <c r="H6" s="1">
        <v>0</v>
      </c>
      <c r="I6" s="1">
        <v>6.2</v>
      </c>
      <c r="K6" s="34" t="s">
        <v>20</v>
      </c>
      <c r="L6" s="35"/>
      <c r="M6" s="35"/>
      <c r="N6" s="35"/>
    </row>
    <row r="7" spans="1:22" x14ac:dyDescent="0.25">
      <c r="A7" s="1">
        <f t="shared" si="0"/>
        <v>6</v>
      </c>
      <c r="B7" s="1">
        <v>20</v>
      </c>
      <c r="C7" s="1">
        <v>3</v>
      </c>
      <c r="D7" s="1">
        <v>1</v>
      </c>
      <c r="E7" s="1" t="s">
        <v>10</v>
      </c>
      <c r="F7" s="1">
        <v>2</v>
      </c>
      <c r="G7" s="1">
        <v>60</v>
      </c>
      <c r="H7" s="1">
        <v>2</v>
      </c>
      <c r="I7" s="1">
        <v>8.1999999999999993</v>
      </c>
      <c r="K7" s="36"/>
      <c r="L7" s="36"/>
      <c r="M7" s="36"/>
      <c r="N7" s="36"/>
    </row>
    <row r="8" spans="1:22" x14ac:dyDescent="0.25">
      <c r="A8" s="1">
        <f t="shared" si="0"/>
        <v>7</v>
      </c>
      <c r="B8" s="1">
        <v>22</v>
      </c>
      <c r="C8" s="1">
        <v>3</v>
      </c>
      <c r="D8" s="1">
        <v>2</v>
      </c>
      <c r="E8" s="1" t="s">
        <v>10</v>
      </c>
      <c r="F8" s="1">
        <v>3</v>
      </c>
      <c r="G8" s="1">
        <v>65</v>
      </c>
      <c r="H8" s="1">
        <v>0</v>
      </c>
      <c r="I8" s="1">
        <v>7.12</v>
      </c>
      <c r="K8" s="17" t="s">
        <v>16</v>
      </c>
      <c r="L8" s="18" t="s">
        <v>18</v>
      </c>
      <c r="M8" s="18" t="s">
        <v>14</v>
      </c>
      <c r="N8" s="19" t="s">
        <v>13</v>
      </c>
      <c r="Q8" t="s">
        <v>53</v>
      </c>
      <c r="R8" t="s">
        <v>18</v>
      </c>
      <c r="S8" s="39" t="s">
        <v>14</v>
      </c>
      <c r="T8" s="39"/>
      <c r="U8" s="39" t="s">
        <v>56</v>
      </c>
      <c r="V8" s="39"/>
    </row>
    <row r="9" spans="1:22" x14ac:dyDescent="0.25">
      <c r="A9" s="1">
        <f t="shared" si="0"/>
        <v>8</v>
      </c>
      <c r="B9" s="1">
        <v>25</v>
      </c>
      <c r="C9" s="1">
        <v>4</v>
      </c>
      <c r="D9" s="1">
        <v>1</v>
      </c>
      <c r="E9" s="1" t="s">
        <v>10</v>
      </c>
      <c r="F9" s="1">
        <v>22</v>
      </c>
      <c r="G9" s="1">
        <v>93</v>
      </c>
      <c r="H9" s="1">
        <v>0</v>
      </c>
      <c r="I9" s="1">
        <v>6.1</v>
      </c>
      <c r="K9" s="20">
        <v>0</v>
      </c>
      <c r="L9" s="21">
        <v>4</v>
      </c>
      <c r="M9" s="22">
        <f t="shared" ref="M9:M15" si="1">L9/$L$15*100</f>
        <v>10</v>
      </c>
      <c r="N9" s="23">
        <f>+M9</f>
        <v>10</v>
      </c>
      <c r="Q9" t="s">
        <v>46</v>
      </c>
      <c r="R9">
        <v>1</v>
      </c>
      <c r="S9" s="40">
        <v>2.5</v>
      </c>
      <c r="T9" s="40"/>
      <c r="U9" s="40">
        <v>2.5</v>
      </c>
      <c r="V9" s="40"/>
    </row>
    <row r="10" spans="1:22" x14ac:dyDescent="0.25">
      <c r="A10" s="1">
        <f t="shared" si="0"/>
        <v>9</v>
      </c>
      <c r="B10" s="1">
        <v>18</v>
      </c>
      <c r="C10" s="1">
        <v>4</v>
      </c>
      <c r="D10" s="1">
        <v>1</v>
      </c>
      <c r="E10" s="1" t="s">
        <v>10</v>
      </c>
      <c r="F10" s="1">
        <v>12</v>
      </c>
      <c r="G10" s="1">
        <v>84</v>
      </c>
      <c r="H10" s="1">
        <v>0</v>
      </c>
      <c r="I10" s="1">
        <v>6.35</v>
      </c>
      <c r="K10" s="24">
        <v>1</v>
      </c>
      <c r="L10" s="25">
        <v>5</v>
      </c>
      <c r="M10" s="26">
        <f t="shared" si="1"/>
        <v>12.5</v>
      </c>
      <c r="N10" s="27">
        <f>N9+M10</f>
        <v>22.5</v>
      </c>
      <c r="Q10" t="s">
        <v>47</v>
      </c>
      <c r="R10">
        <v>16</v>
      </c>
      <c r="S10" s="40">
        <v>40</v>
      </c>
      <c r="T10" s="40"/>
      <c r="U10" s="40">
        <v>42.5</v>
      </c>
      <c r="V10" s="40"/>
    </row>
    <row r="11" spans="1:22" x14ac:dyDescent="0.25">
      <c r="A11" s="1">
        <f t="shared" si="0"/>
        <v>10</v>
      </c>
      <c r="B11" s="1">
        <v>19</v>
      </c>
      <c r="C11" s="1">
        <v>4</v>
      </c>
      <c r="D11" s="1">
        <v>1</v>
      </c>
      <c r="E11" s="1" t="s">
        <v>10</v>
      </c>
      <c r="F11" s="1">
        <v>14</v>
      </c>
      <c r="G11" s="1">
        <v>86</v>
      </c>
      <c r="H11" s="1">
        <v>0</v>
      </c>
      <c r="I11" s="1">
        <v>7.25</v>
      </c>
      <c r="K11" s="20">
        <v>2</v>
      </c>
      <c r="L11" s="21">
        <v>5</v>
      </c>
      <c r="M11" s="22">
        <f t="shared" si="1"/>
        <v>12.5</v>
      </c>
      <c r="N11" s="23">
        <f t="shared" ref="N11:N14" si="2">N10+M11</f>
        <v>35</v>
      </c>
      <c r="Q11" t="s">
        <v>48</v>
      </c>
      <c r="R11">
        <v>15</v>
      </c>
      <c r="S11" s="40">
        <v>37.5</v>
      </c>
      <c r="T11" s="40"/>
      <c r="U11" s="40">
        <v>80</v>
      </c>
      <c r="V11" s="40"/>
    </row>
    <row r="12" spans="1:22" x14ac:dyDescent="0.25">
      <c r="A12" s="1">
        <f t="shared" si="0"/>
        <v>11</v>
      </c>
      <c r="B12" s="1">
        <v>19</v>
      </c>
      <c r="C12" s="1">
        <v>4</v>
      </c>
      <c r="D12" s="1">
        <v>2</v>
      </c>
      <c r="E12" s="1" t="s">
        <v>10</v>
      </c>
      <c r="F12" s="1">
        <v>0</v>
      </c>
      <c r="G12" s="1">
        <v>57</v>
      </c>
      <c r="H12" s="1">
        <v>6</v>
      </c>
      <c r="I12" s="1">
        <v>9.4</v>
      </c>
      <c r="K12" s="24">
        <v>3</v>
      </c>
      <c r="L12" s="25">
        <v>8</v>
      </c>
      <c r="M12" s="26">
        <f t="shared" si="1"/>
        <v>20</v>
      </c>
      <c r="N12" s="27">
        <f t="shared" si="2"/>
        <v>55</v>
      </c>
      <c r="Q12" t="s">
        <v>49</v>
      </c>
      <c r="R12">
        <v>3</v>
      </c>
      <c r="S12" s="40">
        <v>7.5</v>
      </c>
      <c r="T12" s="40"/>
      <c r="U12" s="40">
        <v>87.5</v>
      </c>
      <c r="V12" s="40"/>
    </row>
    <row r="13" spans="1:22" x14ac:dyDescent="0.25">
      <c r="A13" s="1">
        <f t="shared" si="0"/>
        <v>12</v>
      </c>
      <c r="B13" s="1">
        <v>19</v>
      </c>
      <c r="C13" s="1">
        <v>3</v>
      </c>
      <c r="D13" s="1">
        <v>1</v>
      </c>
      <c r="E13" s="1" t="s">
        <v>10</v>
      </c>
      <c r="F13" s="1">
        <v>7</v>
      </c>
      <c r="G13" s="1">
        <v>64</v>
      </c>
      <c r="H13" s="1">
        <v>1</v>
      </c>
      <c r="I13" s="1">
        <v>7.04</v>
      </c>
      <c r="K13" s="20">
        <v>4</v>
      </c>
      <c r="L13" s="21">
        <v>12</v>
      </c>
      <c r="M13" s="22">
        <f t="shared" si="1"/>
        <v>30</v>
      </c>
      <c r="N13" s="23">
        <f t="shared" si="2"/>
        <v>85</v>
      </c>
      <c r="Q13" t="s">
        <v>50</v>
      </c>
      <c r="R13">
        <v>1</v>
      </c>
      <c r="S13" s="40">
        <v>2.5</v>
      </c>
      <c r="T13" s="40"/>
      <c r="U13" s="40">
        <v>90</v>
      </c>
      <c r="V13" s="40"/>
    </row>
    <row r="14" spans="1:22" x14ac:dyDescent="0.25">
      <c r="A14" s="1">
        <f t="shared" si="0"/>
        <v>13</v>
      </c>
      <c r="B14" s="1">
        <v>18</v>
      </c>
      <c r="C14" s="1">
        <v>5</v>
      </c>
      <c r="D14" s="1">
        <v>1</v>
      </c>
      <c r="E14" s="1" t="s">
        <v>10</v>
      </c>
      <c r="F14" s="1">
        <v>8</v>
      </c>
      <c r="G14" s="1">
        <v>71</v>
      </c>
      <c r="H14" s="1">
        <v>1</v>
      </c>
      <c r="I14" s="1">
        <v>6.98</v>
      </c>
      <c r="K14" s="24">
        <v>5</v>
      </c>
      <c r="L14" s="25">
        <v>6</v>
      </c>
      <c r="M14" s="26">
        <f t="shared" si="1"/>
        <v>15</v>
      </c>
      <c r="N14" s="27">
        <f t="shared" si="2"/>
        <v>100</v>
      </c>
      <c r="Q14" t="s">
        <v>51</v>
      </c>
      <c r="R14">
        <v>3</v>
      </c>
      <c r="S14" s="40">
        <v>7.5</v>
      </c>
      <c r="T14" s="40"/>
      <c r="U14" s="40">
        <v>97.5</v>
      </c>
      <c r="V14" s="40"/>
    </row>
    <row r="15" spans="1:22" x14ac:dyDescent="0.25">
      <c r="A15" s="1">
        <f t="shared" si="0"/>
        <v>14</v>
      </c>
      <c r="B15" s="1">
        <v>20</v>
      </c>
      <c r="C15" s="1">
        <v>2</v>
      </c>
      <c r="D15" s="1">
        <v>2</v>
      </c>
      <c r="E15" s="1" t="s">
        <v>10</v>
      </c>
      <c r="F15" s="1">
        <v>13</v>
      </c>
      <c r="G15" s="1">
        <v>89</v>
      </c>
      <c r="H15" s="1">
        <v>0</v>
      </c>
      <c r="I15" s="1">
        <v>6.4</v>
      </c>
      <c r="K15" s="15" t="s">
        <v>15</v>
      </c>
      <c r="L15" s="16">
        <v>40</v>
      </c>
      <c r="M15" s="28">
        <f t="shared" si="1"/>
        <v>100</v>
      </c>
      <c r="N15" s="29"/>
      <c r="Q15" t="s">
        <v>52</v>
      </c>
      <c r="R15">
        <v>1</v>
      </c>
      <c r="S15" s="40">
        <v>2.5</v>
      </c>
      <c r="T15" s="40"/>
      <c r="U15" s="40">
        <v>100</v>
      </c>
      <c r="V15" s="40"/>
    </row>
    <row r="16" spans="1:22" x14ac:dyDescent="0.25">
      <c r="A16" s="1">
        <f t="shared" si="0"/>
        <v>15</v>
      </c>
      <c r="B16" s="1">
        <v>26</v>
      </c>
      <c r="C16" s="1">
        <v>1</v>
      </c>
      <c r="D16" s="1">
        <v>1</v>
      </c>
      <c r="E16" s="1" t="s">
        <v>10</v>
      </c>
      <c r="F16" s="1">
        <v>6</v>
      </c>
      <c r="G16" s="1">
        <v>68</v>
      </c>
      <c r="H16" s="1">
        <v>2</v>
      </c>
      <c r="I16" s="1">
        <v>7.25</v>
      </c>
      <c r="K16" s="38" t="s">
        <v>17</v>
      </c>
      <c r="L16" s="38"/>
      <c r="M16" s="38"/>
      <c r="N16" s="38"/>
      <c r="Q16" t="s">
        <v>12</v>
      </c>
      <c r="R16">
        <v>40</v>
      </c>
      <c r="S16" s="40">
        <v>100</v>
      </c>
      <c r="T16" s="40"/>
      <c r="U16" s="40"/>
      <c r="V16" s="40"/>
    </row>
    <row r="17" spans="1:22" x14ac:dyDescent="0.25">
      <c r="A17" s="1">
        <f t="shared" si="0"/>
        <v>16</v>
      </c>
      <c r="B17" s="1">
        <v>23</v>
      </c>
      <c r="C17" s="1">
        <v>5</v>
      </c>
      <c r="D17" s="1">
        <v>1</v>
      </c>
      <c r="E17" s="1" t="s">
        <v>10</v>
      </c>
      <c r="F17" s="1">
        <v>17</v>
      </c>
      <c r="G17" s="1">
        <v>76</v>
      </c>
      <c r="H17" s="1">
        <v>0</v>
      </c>
      <c r="I17" s="1">
        <v>7.11</v>
      </c>
      <c r="K17" s="37" t="s">
        <v>19</v>
      </c>
      <c r="L17" s="37"/>
      <c r="M17" s="37"/>
      <c r="N17" s="37"/>
      <c r="Q17" t="s">
        <v>54</v>
      </c>
      <c r="S17" s="39"/>
      <c r="T17" s="39"/>
      <c r="U17" s="39"/>
      <c r="V17" s="39"/>
    </row>
    <row r="18" spans="1:22" x14ac:dyDescent="0.25">
      <c r="A18" s="1">
        <f t="shared" si="0"/>
        <v>17</v>
      </c>
      <c r="B18" s="1">
        <v>17</v>
      </c>
      <c r="C18" s="1">
        <v>0</v>
      </c>
      <c r="D18" s="1">
        <v>2</v>
      </c>
      <c r="E18" s="1" t="s">
        <v>10</v>
      </c>
      <c r="F18" s="1">
        <v>11</v>
      </c>
      <c r="G18" s="1">
        <v>72</v>
      </c>
      <c r="H18" s="1">
        <v>0</v>
      </c>
      <c r="I18" s="1">
        <v>8.4499999999999993</v>
      </c>
      <c r="Q18" t="s">
        <v>55</v>
      </c>
    </row>
    <row r="19" spans="1:22" x14ac:dyDescent="0.25">
      <c r="A19" s="1">
        <f t="shared" si="0"/>
        <v>18</v>
      </c>
      <c r="B19" s="1">
        <v>16</v>
      </c>
      <c r="C19" s="1">
        <v>3</v>
      </c>
      <c r="D19" s="1">
        <v>1</v>
      </c>
      <c r="E19" s="1" t="s">
        <v>10</v>
      </c>
      <c r="F19" s="1">
        <v>5</v>
      </c>
      <c r="G19" s="1">
        <v>65</v>
      </c>
      <c r="H19" s="1">
        <v>3</v>
      </c>
      <c r="I19" s="1">
        <v>8.1300000000000008</v>
      </c>
    </row>
    <row r="20" spans="1:22" x14ac:dyDescent="0.25">
      <c r="A20" s="1">
        <f t="shared" si="0"/>
        <v>19</v>
      </c>
      <c r="B20" s="1">
        <v>18</v>
      </c>
      <c r="C20" s="1">
        <v>5</v>
      </c>
      <c r="D20" s="1">
        <v>1</v>
      </c>
      <c r="E20" s="1" t="s">
        <v>10</v>
      </c>
      <c r="F20" s="1">
        <v>3</v>
      </c>
      <c r="G20" s="1">
        <v>68</v>
      </c>
      <c r="H20" s="1">
        <v>0</v>
      </c>
      <c r="I20" s="1">
        <v>7.94</v>
      </c>
      <c r="K20" s="34" t="s">
        <v>22</v>
      </c>
      <c r="L20" s="35"/>
      <c r="M20" s="35"/>
      <c r="N20" s="30"/>
      <c r="Q20" s="32" t="s">
        <v>26</v>
      </c>
      <c r="R20" s="32">
        <f>MAX(Âge)</f>
        <v>35</v>
      </c>
    </row>
    <row r="21" spans="1:22" x14ac:dyDescent="0.25">
      <c r="A21" s="1">
        <f t="shared" si="0"/>
        <v>20</v>
      </c>
      <c r="B21" s="1">
        <v>19</v>
      </c>
      <c r="C21" s="1">
        <v>5</v>
      </c>
      <c r="D21" s="1">
        <v>1</v>
      </c>
      <c r="E21" s="1" t="s">
        <v>10</v>
      </c>
      <c r="F21" s="1">
        <v>9</v>
      </c>
      <c r="G21" s="1">
        <v>68</v>
      </c>
      <c r="H21" s="1">
        <v>1</v>
      </c>
      <c r="I21" s="1">
        <v>7.62</v>
      </c>
      <c r="K21" s="35"/>
      <c r="L21" s="35"/>
      <c r="M21" s="35"/>
      <c r="N21" s="30"/>
      <c r="O21" s="2"/>
      <c r="P21" s="2"/>
      <c r="Q21" s="32" t="s">
        <v>27</v>
      </c>
      <c r="R21" s="32">
        <f>MIN(Âge)</f>
        <v>16</v>
      </c>
    </row>
    <row r="22" spans="1:22" x14ac:dyDescent="0.25">
      <c r="A22" s="1">
        <f t="shared" si="0"/>
        <v>21</v>
      </c>
      <c r="B22" s="1">
        <v>19</v>
      </c>
      <c r="C22" s="1">
        <v>2</v>
      </c>
      <c r="D22" s="1">
        <v>2</v>
      </c>
      <c r="E22" s="1" t="s">
        <v>10</v>
      </c>
      <c r="F22" s="1">
        <v>5</v>
      </c>
      <c r="G22" s="1">
        <v>64</v>
      </c>
      <c r="H22" s="1">
        <v>2</v>
      </c>
      <c r="I22" s="1">
        <v>7.77</v>
      </c>
      <c r="K22" t="s">
        <v>11</v>
      </c>
      <c r="L22" t="s">
        <v>18</v>
      </c>
      <c r="M22" t="s">
        <v>14</v>
      </c>
      <c r="N22" s="2"/>
      <c r="O22" s="2"/>
      <c r="P22" s="2"/>
      <c r="Q22" s="32" t="s">
        <v>28</v>
      </c>
      <c r="R22" s="32">
        <f>R20-R21</f>
        <v>19</v>
      </c>
    </row>
    <row r="23" spans="1:22" x14ac:dyDescent="0.25">
      <c r="A23" s="1">
        <f t="shared" si="0"/>
        <v>22</v>
      </c>
      <c r="B23" s="1">
        <v>18</v>
      </c>
      <c r="C23" s="1">
        <v>4</v>
      </c>
      <c r="D23" s="1">
        <v>1</v>
      </c>
      <c r="E23" s="1" t="s">
        <v>9</v>
      </c>
      <c r="F23" s="1">
        <v>22</v>
      </c>
      <c r="G23" s="1">
        <v>99</v>
      </c>
      <c r="H23" s="1">
        <v>0</v>
      </c>
      <c r="I23" s="1">
        <v>6.05</v>
      </c>
      <c r="K23" t="s">
        <v>24</v>
      </c>
      <c r="L23">
        <v>34</v>
      </c>
      <c r="M23">
        <f>L23/$L$25 * 100</f>
        <v>85</v>
      </c>
      <c r="Q23" s="32" t="s">
        <v>29</v>
      </c>
      <c r="R23" s="33">
        <v>7</v>
      </c>
    </row>
    <row r="24" spans="1:22" x14ac:dyDescent="0.25">
      <c r="A24" s="1">
        <f t="shared" si="0"/>
        <v>23</v>
      </c>
      <c r="B24" s="1">
        <v>17</v>
      </c>
      <c r="C24" s="1">
        <v>4</v>
      </c>
      <c r="D24" s="1">
        <v>1</v>
      </c>
      <c r="E24" s="1" t="s">
        <v>10</v>
      </c>
      <c r="F24" s="1">
        <v>18</v>
      </c>
      <c r="G24" s="1">
        <v>94</v>
      </c>
      <c r="H24" s="1">
        <v>0</v>
      </c>
      <c r="I24" s="1">
        <v>6.81</v>
      </c>
      <c r="K24" t="s">
        <v>25</v>
      </c>
      <c r="L24">
        <v>6</v>
      </c>
      <c r="M24">
        <f t="shared" ref="M24:M25" si="3">L24/$L$25 * 100</f>
        <v>15</v>
      </c>
      <c r="Q24" s="32" t="s">
        <v>30</v>
      </c>
      <c r="R24" s="32">
        <f>R22/R23</f>
        <v>2.7142857142857144</v>
      </c>
    </row>
    <row r="25" spans="1:22" x14ac:dyDescent="0.25">
      <c r="A25" s="1">
        <f t="shared" si="0"/>
        <v>24</v>
      </c>
      <c r="B25" s="1">
        <v>21</v>
      </c>
      <c r="C25" s="1">
        <v>4</v>
      </c>
      <c r="D25" s="1">
        <v>2</v>
      </c>
      <c r="E25" s="1" t="s">
        <v>10</v>
      </c>
      <c r="F25" s="1">
        <v>1</v>
      </c>
      <c r="G25" s="1">
        <v>75</v>
      </c>
      <c r="H25" s="1">
        <v>1</v>
      </c>
      <c r="I25" s="1">
        <v>6.83</v>
      </c>
      <c r="K25" t="s">
        <v>15</v>
      </c>
      <c r="L25">
        <v>40</v>
      </c>
      <c r="M25">
        <f t="shared" si="3"/>
        <v>100</v>
      </c>
      <c r="Q25" s="32" t="s">
        <v>31</v>
      </c>
      <c r="R25" s="33">
        <v>2</v>
      </c>
    </row>
    <row r="26" spans="1:22" x14ac:dyDescent="0.25">
      <c r="A26" s="1">
        <f t="shared" si="0"/>
        <v>25</v>
      </c>
      <c r="B26" s="1">
        <v>25</v>
      </c>
      <c r="C26" s="1">
        <v>1</v>
      </c>
      <c r="D26" s="1">
        <v>1</v>
      </c>
      <c r="E26" s="1" t="s">
        <v>10</v>
      </c>
      <c r="F26" s="1">
        <v>6</v>
      </c>
      <c r="G26" s="1">
        <v>78</v>
      </c>
      <c r="H26" s="1">
        <v>0</v>
      </c>
      <c r="I26" s="1">
        <v>7.12</v>
      </c>
      <c r="K26" s="37" t="s">
        <v>23</v>
      </c>
      <c r="L26" s="37"/>
      <c r="M26" s="37"/>
    </row>
    <row r="27" spans="1:22" x14ac:dyDescent="0.25">
      <c r="A27" s="1">
        <f t="shared" si="0"/>
        <v>26</v>
      </c>
      <c r="B27" s="1">
        <v>20</v>
      </c>
      <c r="C27" s="1">
        <v>4</v>
      </c>
      <c r="D27" s="1">
        <v>1</v>
      </c>
      <c r="E27" s="1" t="s">
        <v>10</v>
      </c>
      <c r="F27" s="1">
        <v>20</v>
      </c>
      <c r="G27" s="1">
        <v>88</v>
      </c>
      <c r="H27" s="1">
        <v>0</v>
      </c>
      <c r="I27" s="1">
        <v>8.94</v>
      </c>
      <c r="J27" s="1"/>
      <c r="K27" s="12" t="s">
        <v>21</v>
      </c>
      <c r="L27" s="12"/>
      <c r="M27" s="12"/>
    </row>
    <row r="28" spans="1:22" x14ac:dyDescent="0.25">
      <c r="A28" s="1">
        <f t="shared" si="0"/>
        <v>27</v>
      </c>
      <c r="B28" s="1">
        <v>18</v>
      </c>
      <c r="C28" s="1">
        <v>3</v>
      </c>
      <c r="D28" s="1">
        <v>1</v>
      </c>
      <c r="E28" s="1" t="s">
        <v>10</v>
      </c>
      <c r="F28" s="1">
        <v>5</v>
      </c>
      <c r="G28" s="1">
        <v>62</v>
      </c>
      <c r="H28" s="1">
        <v>2</v>
      </c>
      <c r="I28" s="1">
        <v>8.01</v>
      </c>
      <c r="J28" s="1"/>
    </row>
    <row r="29" spans="1:22" x14ac:dyDescent="0.25">
      <c r="A29" s="1">
        <f t="shared" si="0"/>
        <v>28</v>
      </c>
      <c r="B29" s="1">
        <v>18</v>
      </c>
      <c r="C29" s="1">
        <v>3</v>
      </c>
      <c r="D29" s="1">
        <v>1</v>
      </c>
      <c r="E29" s="1" t="s">
        <v>10</v>
      </c>
      <c r="F29" s="1">
        <v>4</v>
      </c>
      <c r="G29" s="1">
        <v>64</v>
      </c>
      <c r="H29" s="1">
        <v>1</v>
      </c>
      <c r="I29" s="1">
        <v>7.85</v>
      </c>
      <c r="J29" s="1"/>
    </row>
    <row r="30" spans="1:22" x14ac:dyDescent="0.25">
      <c r="A30" s="1">
        <f t="shared" si="0"/>
        <v>29</v>
      </c>
      <c r="B30" s="1">
        <v>19</v>
      </c>
      <c r="C30" s="1">
        <v>0</v>
      </c>
      <c r="D30" s="1">
        <v>1</v>
      </c>
      <c r="E30" s="1" t="s">
        <v>9</v>
      </c>
      <c r="F30" s="1">
        <v>9</v>
      </c>
      <c r="G30" s="1">
        <v>73</v>
      </c>
      <c r="H30" s="1">
        <v>0</v>
      </c>
      <c r="I30" s="1">
        <v>7.59</v>
      </c>
      <c r="J30" s="1"/>
      <c r="K30" s="39" t="s">
        <v>32</v>
      </c>
      <c r="L30" s="39"/>
    </row>
    <row r="31" spans="1:22" x14ac:dyDescent="0.25">
      <c r="A31" s="1">
        <f t="shared" si="0"/>
        <v>30</v>
      </c>
      <c r="B31" s="1">
        <v>19</v>
      </c>
      <c r="C31" s="1">
        <v>2</v>
      </c>
      <c r="D31" s="1">
        <v>2</v>
      </c>
      <c r="E31" s="1" t="s">
        <v>10</v>
      </c>
      <c r="F31" s="1">
        <v>8</v>
      </c>
      <c r="G31" s="1">
        <v>75</v>
      </c>
      <c r="H31" s="1">
        <v>0</v>
      </c>
      <c r="I31" s="1">
        <v>7.45</v>
      </c>
      <c r="J31" s="1"/>
      <c r="K31" t="s">
        <v>26</v>
      </c>
      <c r="L31">
        <f>MAX(Moy.générale)</f>
        <v>99</v>
      </c>
    </row>
    <row r="32" spans="1:22" x14ac:dyDescent="0.25">
      <c r="A32" s="1">
        <f t="shared" si="0"/>
        <v>31</v>
      </c>
      <c r="B32" s="1">
        <v>17</v>
      </c>
      <c r="C32" s="1">
        <v>2</v>
      </c>
      <c r="D32" s="1">
        <v>1</v>
      </c>
      <c r="E32" s="1" t="s">
        <v>10</v>
      </c>
      <c r="F32" s="1">
        <v>4</v>
      </c>
      <c r="G32" s="1">
        <v>67</v>
      </c>
      <c r="H32" s="1">
        <v>2</v>
      </c>
      <c r="I32" s="1">
        <v>6.99</v>
      </c>
      <c r="J32" s="1"/>
      <c r="K32" t="s">
        <v>27</v>
      </c>
      <c r="L32">
        <f>MIN(Moy.générale)</f>
        <v>57</v>
      </c>
    </row>
    <row r="33" spans="1:14" x14ac:dyDescent="0.25">
      <c r="A33" s="1">
        <f t="shared" si="0"/>
        <v>32</v>
      </c>
      <c r="B33" s="1">
        <v>18</v>
      </c>
      <c r="C33" s="1">
        <v>4</v>
      </c>
      <c r="D33" s="1">
        <v>1</v>
      </c>
      <c r="E33" s="1" t="s">
        <v>10</v>
      </c>
      <c r="F33" s="1">
        <v>12</v>
      </c>
      <c r="G33" s="1">
        <v>84</v>
      </c>
      <c r="H33" s="1">
        <v>0</v>
      </c>
      <c r="I33" s="1">
        <v>6.7</v>
      </c>
      <c r="J33" s="1"/>
      <c r="K33" t="s">
        <v>28</v>
      </c>
      <c r="L33">
        <f>L31-L32</f>
        <v>42</v>
      </c>
    </row>
    <row r="34" spans="1:14" x14ac:dyDescent="0.25">
      <c r="A34" s="1">
        <f t="shared" si="0"/>
        <v>33</v>
      </c>
      <c r="B34" s="1">
        <v>21</v>
      </c>
      <c r="C34" s="1">
        <v>5</v>
      </c>
      <c r="D34" s="1">
        <v>1</v>
      </c>
      <c r="E34" s="1" t="s">
        <v>10</v>
      </c>
      <c r="F34" s="1">
        <v>15</v>
      </c>
      <c r="G34" s="1">
        <v>87</v>
      </c>
      <c r="H34" s="1">
        <v>0</v>
      </c>
      <c r="I34" s="1">
        <v>6.75</v>
      </c>
      <c r="J34" s="1"/>
      <c r="K34" t="s">
        <v>29</v>
      </c>
      <c r="L34" s="31">
        <v>7</v>
      </c>
    </row>
    <row r="35" spans="1:14" x14ac:dyDescent="0.25">
      <c r="A35" s="1">
        <f t="shared" si="0"/>
        <v>34</v>
      </c>
      <c r="B35" s="1">
        <v>35</v>
      </c>
      <c r="C35" s="1">
        <v>0</v>
      </c>
      <c r="D35" s="1">
        <v>2</v>
      </c>
      <c r="E35" s="1" t="s">
        <v>10</v>
      </c>
      <c r="F35" s="1">
        <v>14</v>
      </c>
      <c r="G35" s="1">
        <v>81</v>
      </c>
      <c r="H35" s="1">
        <v>0</v>
      </c>
      <c r="I35" s="1">
        <v>6.83</v>
      </c>
      <c r="J35" s="1"/>
      <c r="K35" t="s">
        <v>30</v>
      </c>
      <c r="L35">
        <f>L33/L34</f>
        <v>6</v>
      </c>
    </row>
    <row r="36" spans="1:14" x14ac:dyDescent="0.25">
      <c r="A36" s="1">
        <f t="shared" si="0"/>
        <v>35</v>
      </c>
      <c r="B36" s="1">
        <v>17</v>
      </c>
      <c r="C36" s="1">
        <v>4</v>
      </c>
      <c r="D36" s="1">
        <v>1</v>
      </c>
      <c r="E36" s="1" t="s">
        <v>9</v>
      </c>
      <c r="F36" s="1">
        <v>8</v>
      </c>
      <c r="G36" s="1">
        <v>76</v>
      </c>
      <c r="H36" s="1">
        <v>0</v>
      </c>
      <c r="I36" s="1">
        <v>9.02</v>
      </c>
      <c r="K36" t="s">
        <v>31</v>
      </c>
      <c r="L36" s="31">
        <v>5</v>
      </c>
    </row>
    <row r="37" spans="1:14" x14ac:dyDescent="0.25">
      <c r="A37" s="1">
        <f t="shared" si="0"/>
        <v>36</v>
      </c>
      <c r="B37" s="1">
        <v>19</v>
      </c>
      <c r="C37" s="1">
        <v>4</v>
      </c>
      <c r="D37" s="1">
        <v>1</v>
      </c>
      <c r="E37" s="1" t="s">
        <v>9</v>
      </c>
      <c r="F37" s="1">
        <v>7</v>
      </c>
      <c r="G37" s="1">
        <v>71</v>
      </c>
      <c r="H37" s="1">
        <v>1</v>
      </c>
      <c r="I37" s="1">
        <v>7.14</v>
      </c>
    </row>
    <row r="38" spans="1:14" x14ac:dyDescent="0.25">
      <c r="A38" s="1">
        <f t="shared" si="0"/>
        <v>37</v>
      </c>
      <c r="B38" s="1">
        <v>18</v>
      </c>
      <c r="C38" s="1">
        <v>1</v>
      </c>
      <c r="D38" s="1">
        <v>1</v>
      </c>
      <c r="E38" s="1" t="s">
        <v>10</v>
      </c>
      <c r="F38" s="1">
        <v>4</v>
      </c>
      <c r="G38" s="1">
        <v>65</v>
      </c>
      <c r="H38" s="1">
        <v>0</v>
      </c>
      <c r="I38" s="1">
        <v>7.69</v>
      </c>
    </row>
    <row r="39" spans="1:14" x14ac:dyDescent="0.25">
      <c r="A39" s="1">
        <f t="shared" si="0"/>
        <v>38</v>
      </c>
      <c r="B39" s="1">
        <v>19</v>
      </c>
      <c r="C39" s="1">
        <v>3</v>
      </c>
      <c r="D39" s="1">
        <v>2</v>
      </c>
      <c r="E39" s="1" t="s">
        <v>10</v>
      </c>
      <c r="F39" s="1">
        <v>0</v>
      </c>
      <c r="G39" s="1">
        <v>58</v>
      </c>
      <c r="H39" s="1">
        <v>3</v>
      </c>
      <c r="I39" s="1">
        <v>8.42</v>
      </c>
      <c r="K39" s="13" t="s">
        <v>40</v>
      </c>
      <c r="L39" s="13" t="s">
        <v>18</v>
      </c>
      <c r="M39" s="13" t="s">
        <v>14</v>
      </c>
      <c r="N39" s="13" t="s">
        <v>41</v>
      </c>
    </row>
    <row r="40" spans="1:14" x14ac:dyDescent="0.25">
      <c r="A40" s="1">
        <f t="shared" si="0"/>
        <v>39</v>
      </c>
      <c r="B40" s="1">
        <v>19</v>
      </c>
      <c r="C40" s="1">
        <v>3</v>
      </c>
      <c r="D40" s="1">
        <v>1</v>
      </c>
      <c r="E40" s="1" t="s">
        <v>10</v>
      </c>
      <c r="F40" s="1">
        <v>0</v>
      </c>
      <c r="G40" s="1">
        <v>61</v>
      </c>
      <c r="H40" s="1">
        <v>2</v>
      </c>
      <c r="I40" s="1">
        <v>8.0299999999999994</v>
      </c>
      <c r="K40" s="13" t="s">
        <v>42</v>
      </c>
      <c r="L40" s="13">
        <v>2</v>
      </c>
      <c r="M40" s="14">
        <f>Tableau4[[#This Row],[Nombre d''étudiant.es]]/$L$49*100</f>
        <v>5</v>
      </c>
      <c r="N40" s="14">
        <v>5</v>
      </c>
    </row>
    <row r="41" spans="1:14" x14ac:dyDescent="0.25">
      <c r="A41" s="1">
        <f t="shared" si="0"/>
        <v>40</v>
      </c>
      <c r="B41" s="1">
        <v>19</v>
      </c>
      <c r="C41" s="1">
        <v>1</v>
      </c>
      <c r="D41" s="1">
        <v>1</v>
      </c>
      <c r="E41" s="1" t="s">
        <v>10</v>
      </c>
      <c r="F41" s="1">
        <v>9</v>
      </c>
      <c r="G41" s="1">
        <v>76</v>
      </c>
      <c r="H41" s="1">
        <v>0</v>
      </c>
      <c r="I41" s="1">
        <v>7.41</v>
      </c>
      <c r="K41" s="13" t="s">
        <v>43</v>
      </c>
      <c r="L41" s="13">
        <v>8</v>
      </c>
      <c r="M41" s="14">
        <f>Tableau4[[#This Row],[Nombre d''étudiant.es]]/$L$49*100</f>
        <v>20</v>
      </c>
      <c r="N41" s="14">
        <f>N40+Tableau4[[#This Row],[Pourcentage d''étudiant.es]]</f>
        <v>25</v>
      </c>
    </row>
    <row r="42" spans="1:14" x14ac:dyDescent="0.25">
      <c r="K42" s="13" t="s">
        <v>33</v>
      </c>
      <c r="L42" s="13">
        <v>8</v>
      </c>
      <c r="M42" s="14">
        <f>Tableau4[[#This Row],[Nombre d''étudiant.es]]/$L$49*100</f>
        <v>20</v>
      </c>
      <c r="N42" s="14">
        <f>N41+Tableau4[[#This Row],[Pourcentage d''étudiant.es]]</f>
        <v>45</v>
      </c>
    </row>
    <row r="43" spans="1:14" x14ac:dyDescent="0.25">
      <c r="K43" s="13" t="s">
        <v>34</v>
      </c>
      <c r="L43" s="13">
        <v>5</v>
      </c>
      <c r="M43" s="14">
        <f>Tableau4[[#This Row],[Nombre d''étudiant.es]]/$L$49*100</f>
        <v>12.5</v>
      </c>
      <c r="N43" s="14">
        <f>N42+Tableau4[[#This Row],[Pourcentage d''étudiant.es]]</f>
        <v>57.5</v>
      </c>
    </row>
    <row r="44" spans="1:14" x14ac:dyDescent="0.25">
      <c r="K44" s="13" t="s">
        <v>35</v>
      </c>
      <c r="L44" s="13">
        <v>6</v>
      </c>
      <c r="M44" s="14">
        <f>Tableau4[[#This Row],[Nombre d''étudiant.es]]/$L$49*100</f>
        <v>15</v>
      </c>
      <c r="N44" s="14">
        <f>N43+Tableau4[[#This Row],[Pourcentage d''étudiant.es]]</f>
        <v>72.5</v>
      </c>
    </row>
    <row r="45" spans="1:14" x14ac:dyDescent="0.25">
      <c r="K45" s="13" t="s">
        <v>36</v>
      </c>
      <c r="L45" s="13">
        <v>4</v>
      </c>
      <c r="M45" s="14">
        <f>Tableau4[[#This Row],[Nombre d''étudiant.es]]/$L$49*100</f>
        <v>10</v>
      </c>
      <c r="N45" s="14">
        <f>N44+Tableau4[[#This Row],[Pourcentage d''étudiant.es]]</f>
        <v>82.5</v>
      </c>
    </row>
    <row r="46" spans="1:14" x14ac:dyDescent="0.25">
      <c r="K46" s="13" t="s">
        <v>37</v>
      </c>
      <c r="L46" s="13">
        <v>4</v>
      </c>
      <c r="M46" s="14">
        <f>Tableau4[[#This Row],[Nombre d''étudiant.es]]/$L$49*100</f>
        <v>10</v>
      </c>
      <c r="N46" s="14">
        <f>N45+Tableau4[[#This Row],[Pourcentage d''étudiant.es]]</f>
        <v>92.5</v>
      </c>
    </row>
    <row r="47" spans="1:14" x14ac:dyDescent="0.25">
      <c r="K47" s="13" t="s">
        <v>38</v>
      </c>
      <c r="L47" s="13">
        <v>2</v>
      </c>
      <c r="M47" s="14">
        <f>Tableau4[[#This Row],[Nombre d''étudiant.es]]/$L$49*100</f>
        <v>5</v>
      </c>
      <c r="N47" s="14">
        <f>N46+Tableau4[[#This Row],[Pourcentage d''étudiant.es]]</f>
        <v>97.5</v>
      </c>
    </row>
    <row r="48" spans="1:14" x14ac:dyDescent="0.25">
      <c r="K48" s="13" t="s">
        <v>39</v>
      </c>
      <c r="L48" s="13">
        <v>1</v>
      </c>
      <c r="M48" s="14">
        <f>Tableau4[[#This Row],[Nombre d''étudiant.es]]/$L$49*100</f>
        <v>2.5</v>
      </c>
      <c r="N48" s="14">
        <f>N47+Tableau4[[#This Row],[Pourcentage d''étudiant.es]]</f>
        <v>100</v>
      </c>
    </row>
    <row r="49" spans="11:14" x14ac:dyDescent="0.25">
      <c r="K49" s="13" t="s">
        <v>15</v>
      </c>
      <c r="L49" s="13">
        <v>40</v>
      </c>
      <c r="M49" s="14">
        <f>Tableau4[[#This Row],[Nombre d''étudiant.es]]/$L$49*100</f>
        <v>100</v>
      </c>
      <c r="N49" s="14"/>
    </row>
    <row r="50" spans="11:14" x14ac:dyDescent="0.25">
      <c r="K50" s="37" t="s">
        <v>44</v>
      </c>
      <c r="L50" s="37"/>
      <c r="M50" s="37"/>
      <c r="N50" s="37"/>
    </row>
    <row r="51" spans="11:14" x14ac:dyDescent="0.25">
      <c r="K51" s="37" t="s">
        <v>45</v>
      </c>
      <c r="L51" s="37"/>
      <c r="M51" s="37"/>
      <c r="N51" s="37"/>
    </row>
  </sheetData>
  <mergeCells count="28">
    <mergeCell ref="U13:V13"/>
    <mergeCell ref="U14:V14"/>
    <mergeCell ref="U15:V15"/>
    <mergeCell ref="U16:V16"/>
    <mergeCell ref="U17:V17"/>
    <mergeCell ref="U8:V8"/>
    <mergeCell ref="U9:V9"/>
    <mergeCell ref="U10:V10"/>
    <mergeCell ref="U11:V11"/>
    <mergeCell ref="U12:V12"/>
    <mergeCell ref="K30:L30"/>
    <mergeCell ref="K50:N50"/>
    <mergeCell ref="K51:N51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K6:N7"/>
    <mergeCell ref="K17:N17"/>
    <mergeCell ref="K16:N16"/>
    <mergeCell ref="K20:M21"/>
    <mergeCell ref="K26:M26"/>
  </mergeCells>
  <pageMargins left="0.7" right="0.7" top="0.75" bottom="0.75" header="0.3" footer="0.3"/>
  <pageSetup orientation="portrait" horizontalDpi="4294967293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Feuil2</vt:lpstr>
      <vt:lpstr>Données</vt:lpstr>
      <vt:lpstr>Âge</vt:lpstr>
      <vt:lpstr>Choix</vt:lpstr>
      <vt:lpstr>Données</vt:lpstr>
      <vt:lpstr>Échecs</vt:lpstr>
      <vt:lpstr>Étude</vt:lpstr>
      <vt:lpstr>Individu</vt:lpstr>
      <vt:lpstr>Main</vt:lpstr>
      <vt:lpstr>Motiv</vt:lpstr>
      <vt:lpstr>Moy.générale</vt:lpstr>
      <vt:lpstr>Temps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</dc:creator>
  <cp:keywords/>
  <dc:description/>
  <cp:lastModifiedBy>Gauvreau Louis</cp:lastModifiedBy>
  <cp:revision/>
  <dcterms:created xsi:type="dcterms:W3CDTF">2015-01-28T18:04:26Z</dcterms:created>
  <dcterms:modified xsi:type="dcterms:W3CDTF">2026-09-16T00:28:05Z</dcterms:modified>
  <cp:category/>
  <cp:contentStatus/>
</cp:coreProperties>
</file>